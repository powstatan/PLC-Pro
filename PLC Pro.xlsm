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aschultz\Desktop\VBS\"/>
    </mc:Choice>
  </mc:AlternateContent>
  <bookViews>
    <workbookView xWindow="0" yWindow="0" windowWidth="15360" windowHeight="7755" tabRatio="900" activeTab="12"/>
  </bookViews>
  <sheets>
    <sheet name="Info" sheetId="36" r:id="rId1"/>
    <sheet name="Unit 1" sheetId="30" r:id="rId2"/>
    <sheet name="Unit 2" sheetId="31" r:id="rId3"/>
    <sheet name="Unit 3" sheetId="40" r:id="rId4"/>
    <sheet name="Unit 4" sheetId="32" r:id="rId5"/>
    <sheet name="Unit 5" sheetId="34" r:id="rId6"/>
    <sheet name="Unit 6" sheetId="35" r:id="rId7"/>
    <sheet name="Unit 7" sheetId="14" r:id="rId8"/>
    <sheet name="Unit 8" sheetId="26" r:id="rId9"/>
    <sheet name="Unit 9" sheetId="25" r:id="rId10"/>
    <sheet name="Summary" sheetId="39" r:id="rId11"/>
    <sheet name="Announcements" sheetId="38" r:id="rId12"/>
    <sheet name="Letters_Home" sheetId="37" r:id="rId13"/>
    <sheet name="Snapshot" sheetId="41" r:id="rId14"/>
  </sheets>
  <functionGroups builtInGroupCount="18"/>
  <externalReferences>
    <externalReference r:id="rId15"/>
  </externalReferences>
  <definedNames>
    <definedName name="class_list" localSheetId="13">[1]Info!$B$3:$B$48</definedName>
    <definedName name="class_list">Info!$B$3:$B$48</definedName>
    <definedName name="_xlnm.Print_Area" localSheetId="11">Announcements!$A$3:$E$15</definedName>
    <definedName name="_xlnm.Print_Area" localSheetId="0">Info!$A$1:$H$13</definedName>
    <definedName name="_xlnm.Print_Area" localSheetId="13">Snapshot!$A$1:$N$5</definedName>
    <definedName name="_xlnm.Print_Area" localSheetId="10">Summary!$A$1:$N$8</definedName>
    <definedName name="_xlnm.Print_Area" localSheetId="1">'Unit 1'!$A$1:$S$24</definedName>
    <definedName name="_xlnm.Print_Area" localSheetId="2">'Unit 2'!$A$1:$Q$18</definedName>
    <definedName name="_xlnm.Print_Area" localSheetId="3">'Unit 3'!$A$1:$S$18</definedName>
    <definedName name="_xlnm.Print_Area" localSheetId="4">'Unit 4'!$A$1:$Q$24</definedName>
    <definedName name="_xlnm.Print_Area" localSheetId="5">'Unit 5'!$A$1:$Z$18</definedName>
    <definedName name="_xlnm.Print_Area" localSheetId="6">'Unit 6'!$A$1:$V$18</definedName>
    <definedName name="_xlnm.Print_Area" localSheetId="7">'Unit 7'!$A$1:$Q$18</definedName>
    <definedName name="_xlnm.Print_Area" localSheetId="8">'Unit 8'!$A$1:$W$18</definedName>
    <definedName name="_xlnm.Print_Area" localSheetId="9">'Unit 9'!$A$1:$N$18</definedName>
    <definedName name="UNIT_1_scores" localSheetId="13">'[1]Unit 1'!$V$6:$V$51</definedName>
    <definedName name="UNIT_1_scores">'Unit 1'!$S$6:$S$51</definedName>
    <definedName name="UNIT_2_SCORES" localSheetId="13">'[1]Unit 2'!$O$6:$O$51</definedName>
    <definedName name="UNIT_2_SCORES">'Unit 2'!$Q$6:$Q$51</definedName>
    <definedName name="UNIT_3_scores" localSheetId="3">'Unit 3'!$S$6:$S$51</definedName>
    <definedName name="UNIT_4_scores" localSheetId="3">'Unit 4'!$Q$6:$Q$51</definedName>
    <definedName name="UNIT_5_scores" localSheetId="13">'[1]Unit 5'!$M$6:$M$51</definedName>
    <definedName name="UNIT_5_scores">'Unit 5'!$Z$6:$Z$51</definedName>
    <definedName name="UNIT_6_scores" localSheetId="13">'[1]Unit 6'!$AE$6:$AE$51</definedName>
    <definedName name="UNIT_6_scores">'Unit 6'!$V$6:$V$51</definedName>
    <definedName name="UNIT_7_scores" localSheetId="13">'[1]Unit 7'!$K$6:$K$51</definedName>
    <definedName name="UNIT_7_scores">'Unit 7'!$Q$6:$Q$51</definedName>
    <definedName name="UNIT_8_scores" localSheetId="13">'[1]Unit 8'!$Q$6:$Q$51</definedName>
    <definedName name="UNIT_8_scores">'Unit 8'!$W$6:$W$51</definedName>
    <definedName name="UNIT_9_scores" localSheetId="13">'[1]Unit 9'!$W$6:$W$51</definedName>
    <definedName name="UNIT_9_scores">'Unit 9'!$N$6:$N$51</definedName>
    <definedName name="unit_list">Info!$F$2:$F$13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23" i="35" l="1"/>
  <c r="V23" i="35"/>
  <c r="G51" i="41" l="1"/>
  <c r="G50" i="41"/>
  <c r="G49" i="41"/>
  <c r="G48" i="41"/>
  <c r="G47" i="41"/>
  <c r="G46" i="41"/>
  <c r="G45" i="41"/>
  <c r="G44" i="41"/>
  <c r="G43" i="41"/>
  <c r="G42" i="41"/>
  <c r="G41" i="41"/>
  <c r="G40" i="41"/>
  <c r="G39" i="41"/>
  <c r="G38" i="41"/>
  <c r="G37" i="41"/>
  <c r="G36" i="41"/>
  <c r="G35" i="41"/>
  <c r="G34" i="41"/>
  <c r="G33" i="41"/>
  <c r="G32" i="41"/>
  <c r="G31" i="41"/>
  <c r="G30" i="41"/>
  <c r="G29" i="41"/>
  <c r="G28" i="41"/>
  <c r="G27" i="41"/>
  <c r="G26" i="41"/>
  <c r="G25" i="41"/>
  <c r="G23" i="41"/>
  <c r="G22" i="41"/>
  <c r="G21" i="41"/>
  <c r="G20" i="41"/>
  <c r="G19" i="41"/>
  <c r="G18" i="41"/>
  <c r="G17" i="41"/>
  <c r="G16" i="41"/>
  <c r="G15" i="41"/>
  <c r="G14" i="41"/>
  <c r="G13" i="41"/>
  <c r="G12" i="41"/>
  <c r="G11" i="41"/>
  <c r="G10" i="41"/>
  <c r="G9" i="41"/>
  <c r="G8" i="41"/>
  <c r="G7" i="41"/>
  <c r="G6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19" i="41"/>
  <c r="F18" i="41"/>
  <c r="F17" i="41"/>
  <c r="F16" i="41"/>
  <c r="F14" i="41"/>
  <c r="F13" i="41"/>
  <c r="F12" i="41"/>
  <c r="F10" i="41"/>
  <c r="F9" i="41"/>
  <c r="F8" i="41"/>
  <c r="F7" i="41"/>
  <c r="R14" i="34" l="1"/>
  <c r="A21" i="34"/>
  <c r="R13" i="34"/>
  <c r="A1" i="34" l="1"/>
  <c r="A51" i="34" l="1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0" i="34"/>
  <c r="A19" i="34"/>
  <c r="A18" i="34"/>
  <c r="A17" i="34"/>
  <c r="A16" i="34"/>
  <c r="A15" i="34"/>
  <c r="A14" i="34"/>
  <c r="A13" i="34"/>
  <c r="A12" i="34"/>
  <c r="A10" i="34"/>
  <c r="A9" i="34"/>
  <c r="A8" i="34"/>
  <c r="A7" i="34"/>
  <c r="A6" i="34"/>
  <c r="S51" i="34"/>
  <c r="R51" i="34"/>
  <c r="S50" i="34"/>
  <c r="R50" i="34"/>
  <c r="S49" i="34"/>
  <c r="R49" i="34"/>
  <c r="S48" i="34"/>
  <c r="R48" i="34"/>
  <c r="S47" i="34"/>
  <c r="R47" i="34"/>
  <c r="S46" i="34"/>
  <c r="R46" i="34"/>
  <c r="S45" i="34"/>
  <c r="R45" i="34"/>
  <c r="S44" i="34"/>
  <c r="R44" i="34"/>
  <c r="S43" i="34"/>
  <c r="R43" i="34"/>
  <c r="S42" i="34"/>
  <c r="R42" i="34"/>
  <c r="S41" i="34"/>
  <c r="R41" i="34"/>
  <c r="S40" i="34"/>
  <c r="R40" i="34"/>
  <c r="S39" i="34"/>
  <c r="R39" i="34"/>
  <c r="S38" i="34"/>
  <c r="R38" i="34"/>
  <c r="S37" i="34"/>
  <c r="R37" i="34"/>
  <c r="S36" i="34"/>
  <c r="R36" i="34"/>
  <c r="S35" i="34"/>
  <c r="R35" i="34"/>
  <c r="S34" i="34"/>
  <c r="R34" i="34"/>
  <c r="S33" i="34"/>
  <c r="R33" i="34"/>
  <c r="S32" i="34"/>
  <c r="R32" i="34"/>
  <c r="S31" i="34"/>
  <c r="R31" i="34"/>
  <c r="S30" i="34"/>
  <c r="R30" i="34"/>
  <c r="S29" i="34"/>
  <c r="R29" i="34"/>
  <c r="S28" i="34"/>
  <c r="R28" i="34"/>
  <c r="S27" i="34"/>
  <c r="R27" i="34"/>
  <c r="S26" i="34"/>
  <c r="R26" i="34"/>
  <c r="S25" i="34"/>
  <c r="R25" i="34"/>
  <c r="S24" i="34"/>
  <c r="G24" i="41" s="1"/>
  <c r="R24" i="34"/>
  <c r="S23" i="34"/>
  <c r="R23" i="34"/>
  <c r="S22" i="34"/>
  <c r="R22" i="34"/>
  <c r="S21" i="34"/>
  <c r="R21" i="34"/>
  <c r="S20" i="34"/>
  <c r="R20" i="34"/>
  <c r="S19" i="34"/>
  <c r="R19" i="34"/>
  <c r="S18" i="34"/>
  <c r="R18" i="34"/>
  <c r="S17" i="34"/>
  <c r="R17" i="34"/>
  <c r="S16" i="34"/>
  <c r="R16" i="34"/>
  <c r="S15" i="34"/>
  <c r="R15" i="34"/>
  <c r="S14" i="34"/>
  <c r="S13" i="34"/>
  <c r="S12" i="34"/>
  <c r="R12" i="34"/>
  <c r="S11" i="34"/>
  <c r="R11" i="34"/>
  <c r="S10" i="34"/>
  <c r="R10" i="34"/>
  <c r="S9" i="34"/>
  <c r="R9" i="34"/>
  <c r="S8" i="34"/>
  <c r="R8" i="34"/>
  <c r="S7" i="34"/>
  <c r="R7" i="34"/>
  <c r="S6" i="34"/>
  <c r="R6" i="34"/>
  <c r="R4" i="34"/>
  <c r="S1" i="34" l="1"/>
  <c r="A51" i="41" l="1"/>
  <c r="A50" i="41"/>
  <c r="A49" i="41"/>
  <c r="A48" i="41"/>
  <c r="A47" i="41"/>
  <c r="A46" i="41"/>
  <c r="A45" i="41"/>
  <c r="A44" i="41"/>
  <c r="A43" i="41"/>
  <c r="A42" i="41"/>
  <c r="A41" i="41"/>
  <c r="A40" i="41"/>
  <c r="A39" i="41"/>
  <c r="A38" i="41"/>
  <c r="A37" i="41"/>
  <c r="A36" i="41"/>
  <c r="A35" i="41"/>
  <c r="A34" i="41"/>
  <c r="A33" i="41"/>
  <c r="A32" i="41"/>
  <c r="A31" i="41"/>
  <c r="A30" i="41"/>
  <c r="A29" i="41"/>
  <c r="A28" i="41"/>
  <c r="A27" i="41"/>
  <c r="A26" i="41"/>
  <c r="A25" i="41"/>
  <c r="A24" i="41"/>
  <c r="A23" i="41"/>
  <c r="A22" i="41"/>
  <c r="A21" i="41"/>
  <c r="A20" i="41"/>
  <c r="A19" i="41"/>
  <c r="A18" i="41"/>
  <c r="A17" i="41"/>
  <c r="A16" i="41"/>
  <c r="A15" i="41"/>
  <c r="A14" i="41"/>
  <c r="A13" i="41"/>
  <c r="A12" i="41"/>
  <c r="A11" i="41"/>
  <c r="A10" i="41"/>
  <c r="A9" i="41"/>
  <c r="A8" i="41"/>
  <c r="A7" i="41"/>
  <c r="N51" i="25"/>
  <c r="K51" i="41"/>
  <c r="N50" i="25"/>
  <c r="K50" i="41"/>
  <c r="N49" i="25"/>
  <c r="K49" i="41"/>
  <c r="N48" i="25"/>
  <c r="K48" i="41"/>
  <c r="N47" i="25"/>
  <c r="K47" i="41"/>
  <c r="N46" i="25"/>
  <c r="K46" i="41"/>
  <c r="N45" i="25"/>
  <c r="K45" i="41"/>
  <c r="N44" i="25"/>
  <c r="K44" i="41"/>
  <c r="N43" i="25"/>
  <c r="K43" i="41"/>
  <c r="N42" i="25"/>
  <c r="K42" i="41"/>
  <c r="N41" i="25"/>
  <c r="K41" i="41"/>
  <c r="N40" i="25"/>
  <c r="K40" i="41"/>
  <c r="N39" i="25"/>
  <c r="K39" i="41"/>
  <c r="N38" i="25"/>
  <c r="K38" i="41"/>
  <c r="N37" i="25"/>
  <c r="K37" i="41"/>
  <c r="N36" i="25"/>
  <c r="K36" i="41"/>
  <c r="N35" i="25"/>
  <c r="K35" i="41"/>
  <c r="N34" i="25"/>
  <c r="K34" i="41"/>
  <c r="N33" i="25"/>
  <c r="K33" i="41"/>
  <c r="N32" i="25"/>
  <c r="K32" i="41"/>
  <c r="N31" i="25"/>
  <c r="K31" i="41"/>
  <c r="N30" i="25"/>
  <c r="K30" i="41"/>
  <c r="N29" i="25"/>
  <c r="K29" i="41"/>
  <c r="N28" i="25"/>
  <c r="K28" i="41"/>
  <c r="N27" i="25"/>
  <c r="K27" i="41"/>
  <c r="N26" i="25"/>
  <c r="K26" i="41"/>
  <c r="N25" i="25"/>
  <c r="K25" i="41"/>
  <c r="N24" i="25"/>
  <c r="K24" i="41"/>
  <c r="N23" i="25"/>
  <c r="K23" i="41"/>
  <c r="N22" i="25"/>
  <c r="K22" i="41"/>
  <c r="N21" i="25"/>
  <c r="K21" i="41"/>
  <c r="N20" i="25"/>
  <c r="K20" i="41"/>
  <c r="N19" i="25"/>
  <c r="K19" i="41"/>
  <c r="N18" i="25"/>
  <c r="K18" i="41"/>
  <c r="N17" i="25"/>
  <c r="K17" i="41"/>
  <c r="N16" i="25"/>
  <c r="K16" i="41"/>
  <c r="N15" i="25"/>
  <c r="K15" i="41"/>
  <c r="N14" i="25"/>
  <c r="K14" i="41"/>
  <c r="N13" i="25"/>
  <c r="K13" i="41"/>
  <c r="N12" i="25"/>
  <c r="K12" i="41"/>
  <c r="N11" i="25"/>
  <c r="K11" i="41"/>
  <c r="N10" i="25"/>
  <c r="K10" i="41"/>
  <c r="N9" i="25"/>
  <c r="K9" i="41"/>
  <c r="N8" i="25"/>
  <c r="K8" i="41"/>
  <c r="N7" i="25"/>
  <c r="K7" i="41"/>
  <c r="N6" i="25"/>
  <c r="K6" i="41"/>
  <c r="W51" i="26"/>
  <c r="J51" i="41"/>
  <c r="W50" i="26"/>
  <c r="J50" i="41"/>
  <c r="W49" i="26"/>
  <c r="J49" i="41"/>
  <c r="W48" i="26"/>
  <c r="J48" i="41"/>
  <c r="W47" i="26"/>
  <c r="J47" i="41"/>
  <c r="W46" i="26"/>
  <c r="J46" i="41"/>
  <c r="W45" i="26"/>
  <c r="J45" i="41"/>
  <c r="W44" i="26"/>
  <c r="J44" i="41"/>
  <c r="W43" i="26"/>
  <c r="J43" i="41"/>
  <c r="W42" i="26"/>
  <c r="J42" i="41"/>
  <c r="W41" i="26"/>
  <c r="J41" i="41"/>
  <c r="W40" i="26"/>
  <c r="J40" i="41"/>
  <c r="W39" i="26"/>
  <c r="J39" i="41"/>
  <c r="W38" i="26"/>
  <c r="J38" i="41"/>
  <c r="W37" i="26"/>
  <c r="J37" i="41"/>
  <c r="W36" i="26"/>
  <c r="J36" i="41"/>
  <c r="W35" i="26"/>
  <c r="J35" i="41"/>
  <c r="W34" i="26"/>
  <c r="J34" i="41"/>
  <c r="W33" i="26"/>
  <c r="J33" i="41"/>
  <c r="W32" i="26"/>
  <c r="J32" i="41"/>
  <c r="W31" i="26"/>
  <c r="J31" i="41"/>
  <c r="W30" i="26"/>
  <c r="J30" i="41"/>
  <c r="W29" i="26"/>
  <c r="J29" i="41"/>
  <c r="W28" i="26"/>
  <c r="J28" i="41"/>
  <c r="W27" i="26"/>
  <c r="J27" i="41"/>
  <c r="W26" i="26"/>
  <c r="J26" i="41"/>
  <c r="W25" i="26"/>
  <c r="J25" i="41"/>
  <c r="W24" i="26"/>
  <c r="J24" i="41"/>
  <c r="W23" i="26"/>
  <c r="J23" i="41"/>
  <c r="W22" i="26"/>
  <c r="J22" i="41"/>
  <c r="W21" i="26"/>
  <c r="J21" i="41"/>
  <c r="W20" i="26"/>
  <c r="J20" i="41"/>
  <c r="W19" i="26"/>
  <c r="J19" i="41"/>
  <c r="W18" i="26"/>
  <c r="J18" i="41"/>
  <c r="W17" i="26"/>
  <c r="J17" i="41"/>
  <c r="W16" i="26"/>
  <c r="J16" i="41"/>
  <c r="W15" i="26"/>
  <c r="J15" i="41"/>
  <c r="W14" i="26"/>
  <c r="J14" i="41"/>
  <c r="W13" i="26"/>
  <c r="J13" i="41"/>
  <c r="W12" i="26"/>
  <c r="J12" i="41"/>
  <c r="W11" i="26"/>
  <c r="J11" i="41"/>
  <c r="W10" i="26"/>
  <c r="J10" i="41"/>
  <c r="W9" i="26"/>
  <c r="J9" i="41"/>
  <c r="W8" i="26"/>
  <c r="J8" i="41"/>
  <c r="W7" i="26"/>
  <c r="J7" i="41"/>
  <c r="W6" i="26"/>
  <c r="J6" i="41"/>
  <c r="Q51" i="14"/>
  <c r="I51" i="41"/>
  <c r="Q50" i="14"/>
  <c r="I50" i="41"/>
  <c r="Q49" i="14"/>
  <c r="I49" i="41"/>
  <c r="Q48" i="14"/>
  <c r="I48" i="41"/>
  <c r="Q47" i="14"/>
  <c r="I47" i="41"/>
  <c r="Q46" i="14"/>
  <c r="I46" i="41"/>
  <c r="Q45" i="14"/>
  <c r="I45" i="41"/>
  <c r="Q44" i="14"/>
  <c r="I44" i="41"/>
  <c r="Q43" i="14"/>
  <c r="I43" i="41"/>
  <c r="Q42" i="14"/>
  <c r="I42" i="41"/>
  <c r="Q41" i="14"/>
  <c r="I41" i="41"/>
  <c r="Q40" i="14"/>
  <c r="I40" i="41"/>
  <c r="Q39" i="14"/>
  <c r="I39" i="41"/>
  <c r="Q38" i="14"/>
  <c r="I38" i="41"/>
  <c r="Q37" i="14"/>
  <c r="I37" i="41"/>
  <c r="Q36" i="14"/>
  <c r="I36" i="41"/>
  <c r="Q35" i="14"/>
  <c r="I35" i="41"/>
  <c r="Q34" i="14"/>
  <c r="I34" i="41"/>
  <c r="Q33" i="14"/>
  <c r="I33" i="41"/>
  <c r="Q32" i="14"/>
  <c r="I32" i="41"/>
  <c r="Q31" i="14"/>
  <c r="I31" i="41"/>
  <c r="Q30" i="14"/>
  <c r="I30" i="41"/>
  <c r="Q29" i="14"/>
  <c r="I29" i="41"/>
  <c r="Q28" i="14"/>
  <c r="I28" i="41"/>
  <c r="Q27" i="14"/>
  <c r="I27" i="41"/>
  <c r="Q26" i="14"/>
  <c r="I26" i="41"/>
  <c r="Q25" i="14"/>
  <c r="I25" i="41"/>
  <c r="Q24" i="14"/>
  <c r="I24" i="41" s="1"/>
  <c r="Q23" i="14"/>
  <c r="I23" i="41" s="1"/>
  <c r="Q22" i="14"/>
  <c r="I22" i="41" s="1"/>
  <c r="Q21" i="14"/>
  <c r="I21" i="41" s="1"/>
  <c r="Q20" i="14"/>
  <c r="I20" i="41" s="1"/>
  <c r="Q19" i="14"/>
  <c r="I19" i="41" s="1"/>
  <c r="Q18" i="14"/>
  <c r="I18" i="41" s="1"/>
  <c r="Q17" i="14"/>
  <c r="I17" i="41" s="1"/>
  <c r="Q16" i="14"/>
  <c r="I16" i="41" s="1"/>
  <c r="Q15" i="14"/>
  <c r="I15" i="41" s="1"/>
  <c r="Q14" i="14"/>
  <c r="I14" i="41" s="1"/>
  <c r="Q13" i="14"/>
  <c r="I13" i="41" s="1"/>
  <c r="Q12" i="14"/>
  <c r="I12" i="41" s="1"/>
  <c r="Q11" i="14"/>
  <c r="I11" i="41" s="1"/>
  <c r="Q10" i="14"/>
  <c r="I10" i="41" s="1"/>
  <c r="Q9" i="14"/>
  <c r="I9" i="41" s="1"/>
  <c r="Q8" i="14"/>
  <c r="I8" i="41" s="1"/>
  <c r="Q7" i="14"/>
  <c r="I7" i="41" s="1"/>
  <c r="Q6" i="14"/>
  <c r="I6" i="41" s="1"/>
  <c r="V51" i="35"/>
  <c r="H51" i="41"/>
  <c r="V50" i="35"/>
  <c r="H50" i="41"/>
  <c r="V49" i="35"/>
  <c r="H49" i="41"/>
  <c r="V48" i="35"/>
  <c r="H48" i="41"/>
  <c r="V47" i="35"/>
  <c r="H47" i="41"/>
  <c r="V46" i="35"/>
  <c r="H46" i="41"/>
  <c r="V45" i="35"/>
  <c r="H45" i="41"/>
  <c r="V44" i="35"/>
  <c r="H44" i="41"/>
  <c r="V43" i="35"/>
  <c r="H43" i="41"/>
  <c r="V42" i="35"/>
  <c r="H42" i="41"/>
  <c r="V41" i="35"/>
  <c r="H41" i="41"/>
  <c r="V40" i="35"/>
  <c r="H40" i="41"/>
  <c r="V39" i="35"/>
  <c r="H39" i="41"/>
  <c r="V38" i="35"/>
  <c r="H38" i="41"/>
  <c r="V37" i="35"/>
  <c r="H37" i="41"/>
  <c r="V36" i="35"/>
  <c r="H36" i="41"/>
  <c r="V35" i="35"/>
  <c r="H35" i="41"/>
  <c r="V34" i="35"/>
  <c r="H34" i="41"/>
  <c r="V33" i="35"/>
  <c r="H33" i="41"/>
  <c r="V32" i="35"/>
  <c r="H32" i="41"/>
  <c r="V31" i="35"/>
  <c r="H31" i="41"/>
  <c r="V30" i="35"/>
  <c r="H30" i="41"/>
  <c r="V29" i="35"/>
  <c r="H29" i="41"/>
  <c r="V28" i="35"/>
  <c r="H28" i="41"/>
  <c r="V27" i="35"/>
  <c r="H27" i="41"/>
  <c r="V26" i="35"/>
  <c r="H26" i="41"/>
  <c r="V25" i="35"/>
  <c r="H25" i="41"/>
  <c r="V24" i="35"/>
  <c r="H24" i="41" s="1"/>
  <c r="H23" i="41"/>
  <c r="V22" i="35"/>
  <c r="H22" i="41" s="1"/>
  <c r="V21" i="35"/>
  <c r="H21" i="41" s="1"/>
  <c r="V20" i="35"/>
  <c r="H20" i="41" s="1"/>
  <c r="V19" i="35"/>
  <c r="H19" i="41" s="1"/>
  <c r="V18" i="35"/>
  <c r="H18" i="41" s="1"/>
  <c r="V17" i="35"/>
  <c r="H17" i="41" s="1"/>
  <c r="V16" i="35"/>
  <c r="H16" i="41" s="1"/>
  <c r="V15" i="35"/>
  <c r="H15" i="41" s="1"/>
  <c r="V14" i="35"/>
  <c r="H14" i="41" s="1"/>
  <c r="V13" i="35"/>
  <c r="H13" i="41" s="1"/>
  <c r="Q6" i="32"/>
  <c r="F6" i="41"/>
  <c r="Q51" i="31"/>
  <c r="D51" i="41"/>
  <c r="Q50" i="31"/>
  <c r="D50" i="41"/>
  <c r="Q49" i="31"/>
  <c r="D49" i="41"/>
  <c r="Q48" i="31"/>
  <c r="D48" i="41"/>
  <c r="Q47" i="31"/>
  <c r="D47" i="41"/>
  <c r="Q46" i="31"/>
  <c r="D46" i="41"/>
  <c r="Q45" i="31"/>
  <c r="D45" i="41"/>
  <c r="Q44" i="31"/>
  <c r="D44" i="41"/>
  <c r="Q43" i="31"/>
  <c r="D43" i="41"/>
  <c r="Q42" i="31"/>
  <c r="D42" i="41"/>
  <c r="Q41" i="31"/>
  <c r="D41" i="41"/>
  <c r="Q40" i="31"/>
  <c r="D40" i="41"/>
  <c r="Q39" i="31"/>
  <c r="D39" i="41"/>
  <c r="Q38" i="31"/>
  <c r="D38" i="41"/>
  <c r="Q37" i="31"/>
  <c r="D37" i="41"/>
  <c r="Q36" i="31"/>
  <c r="D36" i="41"/>
  <c r="Q35" i="31"/>
  <c r="D35" i="41"/>
  <c r="Q34" i="31"/>
  <c r="D34" i="41"/>
  <c r="Q33" i="31"/>
  <c r="D33" i="41"/>
  <c r="Q32" i="31"/>
  <c r="D32" i="41"/>
  <c r="Q31" i="31"/>
  <c r="D31" i="41"/>
  <c r="Q30" i="31"/>
  <c r="D30" i="41"/>
  <c r="Q29" i="31"/>
  <c r="D29" i="41"/>
  <c r="Q28" i="31"/>
  <c r="D28" i="41"/>
  <c r="Q27" i="31"/>
  <c r="D27" i="41"/>
  <c r="Q26" i="31"/>
  <c r="D26" i="41"/>
  <c r="Q25" i="31"/>
  <c r="D25" i="41"/>
  <c r="P51" i="32"/>
  <c r="P50" i="32"/>
  <c r="P49" i="32"/>
  <c r="P48" i="32"/>
  <c r="P47" i="32"/>
  <c r="P46" i="32"/>
  <c r="P45" i="32"/>
  <c r="P44" i="32"/>
  <c r="P43" i="32"/>
  <c r="P42" i="32"/>
  <c r="P41" i="32"/>
  <c r="P40" i="32"/>
  <c r="P39" i="32"/>
  <c r="P38" i="32"/>
  <c r="P37" i="32"/>
  <c r="P36" i="32"/>
  <c r="P35" i="32"/>
  <c r="P34" i="32"/>
  <c r="P33" i="32"/>
  <c r="P32" i="32"/>
  <c r="P31" i="32"/>
  <c r="P30" i="32"/>
  <c r="P29" i="32"/>
  <c r="P28" i="32"/>
  <c r="P27" i="32"/>
  <c r="P26" i="32"/>
  <c r="P25" i="32"/>
  <c r="P24" i="32"/>
  <c r="P23" i="32"/>
  <c r="P22" i="32"/>
  <c r="P21" i="32"/>
  <c r="P20" i="32"/>
  <c r="P19" i="32"/>
  <c r="P18" i="32"/>
  <c r="P17" i="32"/>
  <c r="P16" i="32"/>
  <c r="P15" i="32"/>
  <c r="P14" i="32"/>
  <c r="P13" i="32"/>
  <c r="P12" i="32"/>
  <c r="P11" i="32"/>
  <c r="P10" i="32"/>
  <c r="P9" i="32"/>
  <c r="P8" i="32"/>
  <c r="P7" i="32"/>
  <c r="A6" i="41"/>
  <c r="A1" i="41"/>
  <c r="R51" i="40"/>
  <c r="R50" i="40"/>
  <c r="R49" i="40"/>
  <c r="R48" i="40"/>
  <c r="R47" i="40"/>
  <c r="R46" i="40"/>
  <c r="R45" i="40"/>
  <c r="R44" i="40"/>
  <c r="R43" i="40"/>
  <c r="R42" i="40"/>
  <c r="R41" i="40"/>
  <c r="R40" i="40"/>
  <c r="R39" i="40"/>
  <c r="R38" i="40"/>
  <c r="R37" i="40"/>
  <c r="R36" i="40"/>
  <c r="R35" i="40"/>
  <c r="R34" i="40"/>
  <c r="R33" i="40"/>
  <c r="R32" i="40"/>
  <c r="R31" i="40"/>
  <c r="R30" i="40"/>
  <c r="R29" i="40"/>
  <c r="R28" i="40"/>
  <c r="R27" i="40"/>
  <c r="R26" i="40"/>
  <c r="R25" i="40"/>
  <c r="R24" i="40"/>
  <c r="R23" i="40"/>
  <c r="R22" i="40"/>
  <c r="R21" i="40"/>
  <c r="R20" i="40"/>
  <c r="R19" i="40"/>
  <c r="R18" i="40"/>
  <c r="R17" i="40"/>
  <c r="R16" i="40"/>
  <c r="R15" i="40"/>
  <c r="R14" i="40"/>
  <c r="R13" i="40"/>
  <c r="R12" i="40"/>
  <c r="R11" i="40"/>
  <c r="R10" i="40"/>
  <c r="R9" i="40"/>
  <c r="R8" i="40"/>
  <c r="R7" i="40"/>
  <c r="R8" i="30"/>
  <c r="V6" i="26"/>
  <c r="V7" i="26"/>
  <c r="V8" i="26"/>
  <c r="V9" i="26"/>
  <c r="V10" i="26"/>
  <c r="V11" i="26"/>
  <c r="V12" i="26"/>
  <c r="V13" i="26"/>
  <c r="V14" i="26"/>
  <c r="V15" i="26"/>
  <c r="V16" i="26"/>
  <c r="V17" i="26"/>
  <c r="V18" i="26"/>
  <c r="V19" i="26"/>
  <c r="V20" i="26"/>
  <c r="V21" i="26"/>
  <c r="V22" i="26"/>
  <c r="V23" i="26"/>
  <c r="V24" i="26"/>
  <c r="V25" i="26"/>
  <c r="V26" i="26"/>
  <c r="V27" i="26"/>
  <c r="V28" i="26"/>
  <c r="V29" i="26"/>
  <c r="V30" i="26"/>
  <c r="V31" i="26"/>
  <c r="V32" i="26"/>
  <c r="V33" i="26"/>
  <c r="V34" i="26"/>
  <c r="V35" i="26"/>
  <c r="V36" i="26"/>
  <c r="V37" i="26"/>
  <c r="V38" i="26"/>
  <c r="V39" i="26"/>
  <c r="V40" i="26"/>
  <c r="V41" i="26"/>
  <c r="V42" i="26"/>
  <c r="V43" i="26"/>
  <c r="V44" i="26"/>
  <c r="V45" i="26"/>
  <c r="V46" i="26"/>
  <c r="V47" i="26"/>
  <c r="V48" i="26"/>
  <c r="V49" i="26"/>
  <c r="V50" i="26"/>
  <c r="V51" i="26"/>
  <c r="M6" i="25"/>
  <c r="M7" i="25"/>
  <c r="M8" i="25"/>
  <c r="M9" i="25"/>
  <c r="M10" i="25"/>
  <c r="M11" i="25"/>
  <c r="M12" i="25"/>
  <c r="M13" i="25"/>
  <c r="M14" i="25"/>
  <c r="M15" i="25"/>
  <c r="M16" i="25"/>
  <c r="M17" i="25"/>
  <c r="M18" i="25"/>
  <c r="M19" i="25"/>
  <c r="M20" i="25"/>
  <c r="M21" i="25"/>
  <c r="M22" i="25"/>
  <c r="M23" i="25"/>
  <c r="M24" i="25"/>
  <c r="M25" i="25"/>
  <c r="M26" i="25"/>
  <c r="M27" i="25"/>
  <c r="M28" i="25"/>
  <c r="M29" i="25"/>
  <c r="M30" i="25"/>
  <c r="M31" i="25"/>
  <c r="M32" i="25"/>
  <c r="M33" i="25"/>
  <c r="M34" i="25"/>
  <c r="M35" i="25"/>
  <c r="M36" i="25"/>
  <c r="M37" i="25"/>
  <c r="M38" i="25"/>
  <c r="M39" i="25"/>
  <c r="M40" i="25"/>
  <c r="M41" i="25"/>
  <c r="M42" i="25"/>
  <c r="M43" i="25"/>
  <c r="M44" i="25"/>
  <c r="M45" i="25"/>
  <c r="M46" i="25"/>
  <c r="M47" i="25"/>
  <c r="M48" i="25"/>
  <c r="M49" i="25"/>
  <c r="M50" i="25"/>
  <c r="M51" i="25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U6" i="35"/>
  <c r="U7" i="35"/>
  <c r="U8" i="35"/>
  <c r="U9" i="35"/>
  <c r="U10" i="35"/>
  <c r="U11" i="35"/>
  <c r="U12" i="35"/>
  <c r="U13" i="35"/>
  <c r="U14" i="35"/>
  <c r="U15" i="35"/>
  <c r="U16" i="35"/>
  <c r="U17" i="35"/>
  <c r="U18" i="35"/>
  <c r="U19" i="35"/>
  <c r="U20" i="35"/>
  <c r="U21" i="35"/>
  <c r="U22" i="35"/>
  <c r="U24" i="35"/>
  <c r="U25" i="35"/>
  <c r="U26" i="35"/>
  <c r="U27" i="35"/>
  <c r="U28" i="35"/>
  <c r="U29" i="35"/>
  <c r="U30" i="35"/>
  <c r="U31" i="35"/>
  <c r="U32" i="35"/>
  <c r="U33" i="35"/>
  <c r="U34" i="35"/>
  <c r="U35" i="35"/>
  <c r="U36" i="35"/>
  <c r="U37" i="35"/>
  <c r="U38" i="35"/>
  <c r="U39" i="35"/>
  <c r="U40" i="35"/>
  <c r="U41" i="35"/>
  <c r="U42" i="35"/>
  <c r="U43" i="35"/>
  <c r="U44" i="35"/>
  <c r="U45" i="35"/>
  <c r="U46" i="35"/>
  <c r="U47" i="35"/>
  <c r="U48" i="35"/>
  <c r="U49" i="35"/>
  <c r="U50" i="35"/>
  <c r="U51" i="35"/>
  <c r="P6" i="32"/>
  <c r="R6" i="40"/>
  <c r="P6" i="31"/>
  <c r="P7" i="31"/>
  <c r="P8" i="31"/>
  <c r="P9" i="31"/>
  <c r="P10" i="31"/>
  <c r="P11" i="31"/>
  <c r="P12" i="31"/>
  <c r="P13" i="31"/>
  <c r="P14" i="31"/>
  <c r="P15" i="31"/>
  <c r="P16" i="31"/>
  <c r="P17" i="31"/>
  <c r="P18" i="31"/>
  <c r="P19" i="31"/>
  <c r="P20" i="31"/>
  <c r="P21" i="31"/>
  <c r="P22" i="31"/>
  <c r="P23" i="31"/>
  <c r="P24" i="31"/>
  <c r="P25" i="31"/>
  <c r="P26" i="31"/>
  <c r="P27" i="31"/>
  <c r="P28" i="31"/>
  <c r="P29" i="31"/>
  <c r="P30" i="31"/>
  <c r="P31" i="31"/>
  <c r="P32" i="31"/>
  <c r="P33" i="31"/>
  <c r="P34" i="31"/>
  <c r="P35" i="31"/>
  <c r="P36" i="31"/>
  <c r="P37" i="31"/>
  <c r="P38" i="31"/>
  <c r="P39" i="31"/>
  <c r="P40" i="31"/>
  <c r="P41" i="31"/>
  <c r="P42" i="31"/>
  <c r="P43" i="31"/>
  <c r="P44" i="31"/>
  <c r="P45" i="31"/>
  <c r="P46" i="31"/>
  <c r="P47" i="31"/>
  <c r="P48" i="31"/>
  <c r="P49" i="31"/>
  <c r="P50" i="31"/>
  <c r="P51" i="31"/>
  <c r="V6" i="35"/>
  <c r="H6" i="41" s="1"/>
  <c r="V7" i="35"/>
  <c r="H7" i="41" s="1"/>
  <c r="V8" i="35"/>
  <c r="H8" i="41" s="1"/>
  <c r="V9" i="35"/>
  <c r="H9" i="41" s="1"/>
  <c r="V10" i="35"/>
  <c r="H10" i="41" s="1"/>
  <c r="V11" i="35"/>
  <c r="H11" i="41" s="1"/>
  <c r="V12" i="35"/>
  <c r="H12" i="41" s="1"/>
  <c r="P4" i="32"/>
  <c r="Q7" i="32"/>
  <c r="Q8" i="32"/>
  <c r="Q9" i="32"/>
  <c r="Q10" i="32"/>
  <c r="Q11" i="32"/>
  <c r="Q12" i="32"/>
  <c r="Q13" i="32"/>
  <c r="Q14" i="32"/>
  <c r="Q15" i="32"/>
  <c r="F15" i="41" s="1"/>
  <c r="Q16" i="32"/>
  <c r="Q17" i="32"/>
  <c r="Q18" i="32"/>
  <c r="Q19" i="32"/>
  <c r="Q20" i="32"/>
  <c r="F20" i="41" s="1"/>
  <c r="Q21" i="32"/>
  <c r="Q22" i="32"/>
  <c r="Q23" i="32"/>
  <c r="Q24" i="32"/>
  <c r="Q25" i="32"/>
  <c r="Q26" i="32"/>
  <c r="Q27" i="32"/>
  <c r="Q28" i="32"/>
  <c r="Q29" i="32"/>
  <c r="Q30" i="32"/>
  <c r="Q31" i="32"/>
  <c r="Q32" i="32"/>
  <c r="Q33" i="32"/>
  <c r="Q34" i="32"/>
  <c r="Q35" i="32"/>
  <c r="Q36" i="32"/>
  <c r="Q37" i="32"/>
  <c r="Q38" i="32"/>
  <c r="Q39" i="32"/>
  <c r="Q40" i="32"/>
  <c r="Q41" i="32"/>
  <c r="Q42" i="32"/>
  <c r="Q43" i="32"/>
  <c r="Q44" i="32"/>
  <c r="Q45" i="32"/>
  <c r="Q46" i="32"/>
  <c r="Q47" i="32"/>
  <c r="Q48" i="32"/>
  <c r="Q49" i="32"/>
  <c r="Q50" i="32"/>
  <c r="Q51" i="32"/>
  <c r="R4" i="40"/>
  <c r="S6" i="40"/>
  <c r="E6" i="41"/>
  <c r="S7" i="40"/>
  <c r="E7" i="41"/>
  <c r="S8" i="40"/>
  <c r="E8" i="41"/>
  <c r="S9" i="40"/>
  <c r="E9" i="41"/>
  <c r="S10" i="40"/>
  <c r="E10" i="41"/>
  <c r="S11" i="40"/>
  <c r="E11" i="41" s="1"/>
  <c r="S12" i="40"/>
  <c r="E12" i="41"/>
  <c r="S13" i="40"/>
  <c r="E13" i="41"/>
  <c r="S14" i="40"/>
  <c r="E14" i="41"/>
  <c r="S15" i="40"/>
  <c r="E15" i="41"/>
  <c r="S16" i="40"/>
  <c r="E16" i="41"/>
  <c r="S17" i="40"/>
  <c r="E17" i="41"/>
  <c r="S18" i="40"/>
  <c r="E18" i="41"/>
  <c r="S19" i="40"/>
  <c r="E19" i="41"/>
  <c r="S20" i="40"/>
  <c r="E20" i="41"/>
  <c r="S21" i="40"/>
  <c r="E21" i="41"/>
  <c r="S22" i="40"/>
  <c r="E22" i="41"/>
  <c r="S23" i="40"/>
  <c r="E23" i="41"/>
  <c r="S24" i="40"/>
  <c r="E24" i="41" s="1"/>
  <c r="S25" i="40"/>
  <c r="E25" i="41"/>
  <c r="S26" i="40"/>
  <c r="E26" i="41"/>
  <c r="S27" i="40"/>
  <c r="E27" i="41"/>
  <c r="S28" i="40"/>
  <c r="E28" i="41"/>
  <c r="S29" i="40"/>
  <c r="E29" i="41"/>
  <c r="S30" i="40"/>
  <c r="E30" i="41"/>
  <c r="S31" i="40"/>
  <c r="E31" i="41"/>
  <c r="S32" i="40"/>
  <c r="E32" i="41"/>
  <c r="S33" i="40"/>
  <c r="E33" i="41"/>
  <c r="S34" i="40"/>
  <c r="E34" i="41"/>
  <c r="S35" i="40"/>
  <c r="E35" i="41"/>
  <c r="S36" i="40"/>
  <c r="E36" i="41"/>
  <c r="S37" i="40"/>
  <c r="E37" i="41"/>
  <c r="S38" i="40"/>
  <c r="E38" i="41"/>
  <c r="S39" i="40"/>
  <c r="E39" i="41"/>
  <c r="S40" i="40"/>
  <c r="E40" i="41"/>
  <c r="S41" i="40"/>
  <c r="E41" i="41"/>
  <c r="S42" i="40"/>
  <c r="E42" i="41"/>
  <c r="S43" i="40"/>
  <c r="E43" i="41"/>
  <c r="S44" i="40"/>
  <c r="E44" i="41"/>
  <c r="S45" i="40"/>
  <c r="E45" i="41"/>
  <c r="S46" i="40"/>
  <c r="E46" i="41"/>
  <c r="S47" i="40"/>
  <c r="E47" i="41"/>
  <c r="S48" i="40"/>
  <c r="E48" i="41"/>
  <c r="S49" i="40"/>
  <c r="E49" i="41"/>
  <c r="S50" i="40"/>
  <c r="E50" i="41"/>
  <c r="S51" i="40"/>
  <c r="E51" i="41"/>
  <c r="P4" i="31"/>
  <c r="Q6" i="31"/>
  <c r="D6" i="41"/>
  <c r="Q7" i="31"/>
  <c r="D7" i="41"/>
  <c r="Q8" i="31"/>
  <c r="D8" i="41"/>
  <c r="Q9" i="31"/>
  <c r="D9" i="41"/>
  <c r="Q10" i="31"/>
  <c r="D10" i="41"/>
  <c r="Q11" i="31"/>
  <c r="D11" i="41"/>
  <c r="Q12" i="31"/>
  <c r="D12" i="41"/>
  <c r="Q13" i="31"/>
  <c r="D13" i="41"/>
  <c r="Q14" i="31"/>
  <c r="D14" i="41"/>
  <c r="Q15" i="31"/>
  <c r="D15" i="41"/>
  <c r="Q16" i="31"/>
  <c r="D16" i="41"/>
  <c r="Q17" i="31"/>
  <c r="D17" i="41"/>
  <c r="Q18" i="31"/>
  <c r="D18" i="41"/>
  <c r="Q19" i="31"/>
  <c r="D19" i="41"/>
  <c r="Q20" i="31"/>
  <c r="D20" i="41" s="1"/>
  <c r="Q21" i="31"/>
  <c r="D21" i="41"/>
  <c r="Q22" i="31"/>
  <c r="D22" i="41"/>
  <c r="Q23" i="31"/>
  <c r="D23" i="41"/>
  <c r="Q24" i="31"/>
  <c r="D24" i="41" s="1"/>
  <c r="S25" i="30"/>
  <c r="C25" i="41"/>
  <c r="S26" i="30"/>
  <c r="C26" i="41"/>
  <c r="S27" i="30"/>
  <c r="C27" i="41"/>
  <c r="S28" i="30"/>
  <c r="C28" i="41"/>
  <c r="S29" i="30"/>
  <c r="C29" i="41"/>
  <c r="S30" i="30"/>
  <c r="C30" i="41"/>
  <c r="S31" i="30"/>
  <c r="C31" i="41"/>
  <c r="S32" i="30"/>
  <c r="C32" i="41"/>
  <c r="S33" i="30"/>
  <c r="C33" i="41"/>
  <c r="S34" i="30"/>
  <c r="C34" i="41"/>
  <c r="S35" i="30"/>
  <c r="C35" i="41"/>
  <c r="S36" i="30"/>
  <c r="C36" i="41"/>
  <c r="S37" i="30"/>
  <c r="C37" i="41"/>
  <c r="S38" i="30"/>
  <c r="C38" i="41"/>
  <c r="S39" i="30"/>
  <c r="C39" i="41"/>
  <c r="S40" i="30"/>
  <c r="C40" i="41"/>
  <c r="S41" i="30"/>
  <c r="C41" i="41"/>
  <c r="S42" i="30"/>
  <c r="C42" i="41"/>
  <c r="S43" i="30"/>
  <c r="C43" i="41"/>
  <c r="S44" i="30"/>
  <c r="C44" i="41"/>
  <c r="S45" i="30"/>
  <c r="C45" i="41"/>
  <c r="S46" i="30"/>
  <c r="C46" i="41"/>
  <c r="S47" i="30"/>
  <c r="C47" i="41"/>
  <c r="S48" i="30"/>
  <c r="C48" i="41"/>
  <c r="S49" i="30"/>
  <c r="C49" i="41"/>
  <c r="S50" i="30"/>
  <c r="C50" i="41"/>
  <c r="S51" i="30"/>
  <c r="C51" i="41"/>
  <c r="A6" i="30"/>
  <c r="R6" i="30"/>
  <c r="R7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0" i="30"/>
  <c r="R51" i="30"/>
  <c r="A1" i="40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Q377" i="31"/>
  <c r="P377" i="31"/>
  <c r="Q376" i="31"/>
  <c r="P376" i="31"/>
  <c r="Q375" i="31"/>
  <c r="P375" i="31"/>
  <c r="Q374" i="31"/>
  <c r="P374" i="31"/>
  <c r="Q373" i="31"/>
  <c r="P373" i="31"/>
  <c r="Q372" i="31"/>
  <c r="P372" i="31"/>
  <c r="Q371" i="31"/>
  <c r="P371" i="31"/>
  <c r="Q370" i="31"/>
  <c r="P370" i="31"/>
  <c r="Q369" i="31"/>
  <c r="P369" i="31"/>
  <c r="Q368" i="31"/>
  <c r="P368" i="31"/>
  <c r="Q367" i="31"/>
  <c r="P367" i="31"/>
  <c r="Q366" i="31"/>
  <c r="P366" i="31"/>
  <c r="Q365" i="31"/>
  <c r="P365" i="31"/>
  <c r="Q364" i="31"/>
  <c r="P364" i="31"/>
  <c r="Q363" i="31"/>
  <c r="P363" i="31"/>
  <c r="Q362" i="31"/>
  <c r="P362" i="31"/>
  <c r="Q361" i="31"/>
  <c r="P361" i="31"/>
  <c r="Q360" i="31"/>
  <c r="P360" i="31"/>
  <c r="Q359" i="31"/>
  <c r="P359" i="31"/>
  <c r="Q358" i="31"/>
  <c r="P358" i="31"/>
  <c r="Q357" i="31"/>
  <c r="P357" i="31"/>
  <c r="Q356" i="31"/>
  <c r="P356" i="31"/>
  <c r="Q355" i="31"/>
  <c r="P355" i="31"/>
  <c r="Q354" i="31"/>
  <c r="P354" i="31"/>
  <c r="Q353" i="31"/>
  <c r="P353" i="31"/>
  <c r="Q352" i="31"/>
  <c r="P352" i="31"/>
  <c r="Q351" i="31"/>
  <c r="P351" i="31"/>
  <c r="Q350" i="31"/>
  <c r="P350" i="31"/>
  <c r="Q349" i="31"/>
  <c r="P349" i="31"/>
  <c r="Q348" i="31"/>
  <c r="P348" i="31"/>
  <c r="Q347" i="31"/>
  <c r="P347" i="31"/>
  <c r="Q346" i="31"/>
  <c r="P346" i="31"/>
  <c r="Q345" i="31"/>
  <c r="P345" i="31"/>
  <c r="Q344" i="31"/>
  <c r="P344" i="31"/>
  <c r="Q343" i="31"/>
  <c r="P343" i="31"/>
  <c r="Q342" i="31"/>
  <c r="P342" i="31"/>
  <c r="Q341" i="31"/>
  <c r="P341" i="31"/>
  <c r="Q340" i="31"/>
  <c r="P340" i="31"/>
  <c r="Q339" i="31"/>
  <c r="P339" i="31"/>
  <c r="Q338" i="31"/>
  <c r="P338" i="31"/>
  <c r="Q337" i="31"/>
  <c r="P337" i="31"/>
  <c r="Q336" i="31"/>
  <c r="P336" i="31"/>
  <c r="Q335" i="31"/>
  <c r="P335" i="31"/>
  <c r="Q334" i="31"/>
  <c r="P334" i="31"/>
  <c r="Q333" i="31"/>
  <c r="P333" i="31"/>
  <c r="Q332" i="31"/>
  <c r="P332" i="31"/>
  <c r="Q331" i="31"/>
  <c r="P331" i="31"/>
  <c r="Q330" i="31"/>
  <c r="P330" i="31"/>
  <c r="Q329" i="31"/>
  <c r="P329" i="31"/>
  <c r="Q328" i="31"/>
  <c r="P328" i="31"/>
  <c r="Q327" i="31"/>
  <c r="P327" i="31"/>
  <c r="Q326" i="31"/>
  <c r="P326" i="31"/>
  <c r="Q325" i="31"/>
  <c r="P325" i="31"/>
  <c r="Q324" i="31"/>
  <c r="P324" i="31"/>
  <c r="Q323" i="31"/>
  <c r="P323" i="31"/>
  <c r="Q322" i="31"/>
  <c r="P322" i="31"/>
  <c r="Q321" i="31"/>
  <c r="P321" i="31"/>
  <c r="Q320" i="31"/>
  <c r="P320" i="31"/>
  <c r="Q319" i="31"/>
  <c r="P319" i="31"/>
  <c r="Q318" i="31"/>
  <c r="P318" i="31"/>
  <c r="Q317" i="31"/>
  <c r="P317" i="31"/>
  <c r="Q316" i="31"/>
  <c r="P316" i="31"/>
  <c r="Q315" i="31"/>
  <c r="P315" i="31"/>
  <c r="Q314" i="31"/>
  <c r="P314" i="31"/>
  <c r="Q313" i="31"/>
  <c r="P313" i="31"/>
  <c r="Q312" i="31"/>
  <c r="P312" i="31"/>
  <c r="Q311" i="31"/>
  <c r="P311" i="31"/>
  <c r="Q310" i="31"/>
  <c r="P310" i="31"/>
  <c r="Q309" i="31"/>
  <c r="P309" i="31"/>
  <c r="Q308" i="31"/>
  <c r="P308" i="31"/>
  <c r="Q307" i="31"/>
  <c r="P307" i="31"/>
  <c r="Q306" i="31"/>
  <c r="P306" i="31"/>
  <c r="Q305" i="31"/>
  <c r="P305" i="31"/>
  <c r="Q304" i="31"/>
  <c r="P304" i="31"/>
  <c r="Q303" i="31"/>
  <c r="P303" i="31"/>
  <c r="Q302" i="31"/>
  <c r="P302" i="31"/>
  <c r="Q301" i="31"/>
  <c r="P301" i="31"/>
  <c r="Q300" i="31"/>
  <c r="P300" i="31"/>
  <c r="Q299" i="31"/>
  <c r="P299" i="31"/>
  <c r="Q298" i="31"/>
  <c r="P298" i="31"/>
  <c r="Q297" i="31"/>
  <c r="P297" i="31"/>
  <c r="Q296" i="31"/>
  <c r="P296" i="31"/>
  <c r="Q295" i="31"/>
  <c r="P295" i="31"/>
  <c r="Q294" i="31"/>
  <c r="P294" i="31"/>
  <c r="Q293" i="31"/>
  <c r="P293" i="31"/>
  <c r="Q292" i="31"/>
  <c r="P292" i="31"/>
  <c r="Q291" i="31"/>
  <c r="P291" i="31"/>
  <c r="Q290" i="31"/>
  <c r="P290" i="31"/>
  <c r="Q289" i="31"/>
  <c r="P289" i="31"/>
  <c r="Q288" i="31"/>
  <c r="P288" i="31"/>
  <c r="Q287" i="31"/>
  <c r="P287" i="31"/>
  <c r="Q286" i="31"/>
  <c r="P286" i="31"/>
  <c r="Q285" i="31"/>
  <c r="P285" i="31"/>
  <c r="Q284" i="31"/>
  <c r="P284" i="31"/>
  <c r="Q283" i="31"/>
  <c r="P283" i="31"/>
  <c r="Q282" i="31"/>
  <c r="P282" i="31"/>
  <c r="Q281" i="31"/>
  <c r="P281" i="31"/>
  <c r="Q280" i="31"/>
  <c r="P280" i="31"/>
  <c r="Q279" i="31"/>
  <c r="P279" i="31"/>
  <c r="Q278" i="31"/>
  <c r="P278" i="31"/>
  <c r="Q277" i="31"/>
  <c r="P277" i="31"/>
  <c r="Q276" i="31"/>
  <c r="P276" i="31"/>
  <c r="Q275" i="31"/>
  <c r="P275" i="31"/>
  <c r="Q274" i="31"/>
  <c r="P274" i="31"/>
  <c r="Q273" i="31"/>
  <c r="P273" i="31"/>
  <c r="Q272" i="31"/>
  <c r="P272" i="31"/>
  <c r="Q271" i="31"/>
  <c r="P271" i="31"/>
  <c r="Q270" i="31"/>
  <c r="P270" i="31"/>
  <c r="Q269" i="31"/>
  <c r="P269" i="31"/>
  <c r="Q268" i="31"/>
  <c r="P268" i="31"/>
  <c r="Q267" i="31"/>
  <c r="P267" i="31"/>
  <c r="Q266" i="31"/>
  <c r="P266" i="31"/>
  <c r="Q265" i="31"/>
  <c r="P265" i="31"/>
  <c r="Q264" i="31"/>
  <c r="P264" i="31"/>
  <c r="Q263" i="31"/>
  <c r="P263" i="31"/>
  <c r="Q262" i="31"/>
  <c r="P262" i="31"/>
  <c r="Q261" i="31"/>
  <c r="P261" i="31"/>
  <c r="Q260" i="31"/>
  <c r="P260" i="31"/>
  <c r="Q259" i="31"/>
  <c r="P259" i="31"/>
  <c r="Q258" i="31"/>
  <c r="P258" i="31"/>
  <c r="Q257" i="31"/>
  <c r="P257" i="31"/>
  <c r="Q256" i="31"/>
  <c r="P256" i="31"/>
  <c r="Q255" i="31"/>
  <c r="P255" i="31"/>
  <c r="Q254" i="31"/>
  <c r="P254" i="31"/>
  <c r="Q253" i="31"/>
  <c r="P253" i="31"/>
  <c r="Q252" i="31"/>
  <c r="P252" i="31"/>
  <c r="Q251" i="31"/>
  <c r="P251" i="31"/>
  <c r="Q250" i="31"/>
  <c r="P250" i="31"/>
  <c r="Q249" i="31"/>
  <c r="P249" i="31"/>
  <c r="Q248" i="31"/>
  <c r="P248" i="31"/>
  <c r="Q247" i="31"/>
  <c r="P247" i="31"/>
  <c r="Q246" i="31"/>
  <c r="P246" i="31"/>
  <c r="Q245" i="31"/>
  <c r="P245" i="31"/>
  <c r="Q244" i="31"/>
  <c r="P244" i="31"/>
  <c r="Q243" i="31"/>
  <c r="P243" i="31"/>
  <c r="Q242" i="31"/>
  <c r="P242" i="31"/>
  <c r="Q241" i="31"/>
  <c r="P241" i="31"/>
  <c r="Q240" i="31"/>
  <c r="P240" i="31"/>
  <c r="Q239" i="31"/>
  <c r="P239" i="31"/>
  <c r="Q238" i="31"/>
  <c r="P238" i="31"/>
  <c r="Q237" i="31"/>
  <c r="P237" i="31"/>
  <c r="Q236" i="31"/>
  <c r="P236" i="31"/>
  <c r="Q235" i="31"/>
  <c r="P235" i="31"/>
  <c r="Q234" i="31"/>
  <c r="P234" i="31"/>
  <c r="Q233" i="31"/>
  <c r="P233" i="31"/>
  <c r="Q232" i="31"/>
  <c r="P232" i="31"/>
  <c r="Q231" i="31"/>
  <c r="P231" i="31"/>
  <c r="Q230" i="31"/>
  <c r="P230" i="31"/>
  <c r="Q229" i="31"/>
  <c r="P229" i="31"/>
  <c r="Q228" i="31"/>
  <c r="P228" i="31"/>
  <c r="Q227" i="31"/>
  <c r="P227" i="31"/>
  <c r="Q226" i="31"/>
  <c r="P226" i="31"/>
  <c r="Q225" i="31"/>
  <c r="P225" i="31"/>
  <c r="Q224" i="31"/>
  <c r="P224" i="31"/>
  <c r="Q223" i="31"/>
  <c r="P223" i="31"/>
  <c r="Q222" i="31"/>
  <c r="P222" i="31"/>
  <c r="Q221" i="31"/>
  <c r="P221" i="31"/>
  <c r="Q220" i="31"/>
  <c r="P220" i="31"/>
  <c r="Q219" i="31"/>
  <c r="P219" i="31"/>
  <c r="Q218" i="31"/>
  <c r="P218" i="31"/>
  <c r="Q217" i="31"/>
  <c r="P217" i="31"/>
  <c r="Q216" i="31"/>
  <c r="P216" i="31"/>
  <c r="Q215" i="31"/>
  <c r="P215" i="31"/>
  <c r="Q214" i="31"/>
  <c r="P214" i="31"/>
  <c r="Q213" i="31"/>
  <c r="P213" i="31"/>
  <c r="Q212" i="31"/>
  <c r="P212" i="31"/>
  <c r="Q211" i="31"/>
  <c r="P211" i="31"/>
  <c r="Q210" i="31"/>
  <c r="P210" i="31"/>
  <c r="Q209" i="31"/>
  <c r="P209" i="31"/>
  <c r="Q208" i="31"/>
  <c r="P208" i="31"/>
  <c r="Q207" i="31"/>
  <c r="P207" i="31"/>
  <c r="Q206" i="31"/>
  <c r="P206" i="31"/>
  <c r="Q205" i="31"/>
  <c r="P205" i="31"/>
  <c r="Q204" i="31"/>
  <c r="P204" i="31"/>
  <c r="Q203" i="31"/>
  <c r="P203" i="31"/>
  <c r="Q202" i="31"/>
  <c r="P202" i="31"/>
  <c r="Q201" i="31"/>
  <c r="P201" i="31"/>
  <c r="Q200" i="31"/>
  <c r="P200" i="31"/>
  <c r="Q199" i="31"/>
  <c r="P199" i="31"/>
  <c r="Q198" i="31"/>
  <c r="P198" i="31"/>
  <c r="Q197" i="31"/>
  <c r="P197" i="31"/>
  <c r="Q196" i="31"/>
  <c r="P196" i="31"/>
  <c r="Q195" i="31"/>
  <c r="P195" i="31"/>
  <c r="Q194" i="31"/>
  <c r="P194" i="31"/>
  <c r="Q193" i="31"/>
  <c r="P193" i="31"/>
  <c r="Q192" i="31"/>
  <c r="P192" i="31"/>
  <c r="Q191" i="31"/>
  <c r="P191" i="31"/>
  <c r="Q190" i="31"/>
  <c r="P190" i="31"/>
  <c r="Q189" i="31"/>
  <c r="P189" i="31"/>
  <c r="Q188" i="31"/>
  <c r="P188" i="31"/>
  <c r="Q187" i="31"/>
  <c r="P187" i="31"/>
  <c r="Q186" i="31"/>
  <c r="P186" i="31"/>
  <c r="Q185" i="31"/>
  <c r="P185" i="31"/>
  <c r="Q184" i="31"/>
  <c r="P184" i="31"/>
  <c r="Q183" i="31"/>
  <c r="P183" i="31"/>
  <c r="Q182" i="31"/>
  <c r="P182" i="31"/>
  <c r="Q181" i="31"/>
  <c r="P181" i="31"/>
  <c r="Q180" i="31"/>
  <c r="P180" i="31"/>
  <c r="Q179" i="31"/>
  <c r="P179" i="31"/>
  <c r="Q178" i="31"/>
  <c r="P178" i="31"/>
  <c r="Q177" i="31"/>
  <c r="P177" i="31"/>
  <c r="Q176" i="31"/>
  <c r="P176" i="31"/>
  <c r="Q175" i="31"/>
  <c r="P175" i="31"/>
  <c r="Q174" i="31"/>
  <c r="P174" i="31"/>
  <c r="Q173" i="31"/>
  <c r="P173" i="31"/>
  <c r="Q172" i="31"/>
  <c r="P172" i="31"/>
  <c r="Q171" i="31"/>
  <c r="P171" i="31"/>
  <c r="Q170" i="31"/>
  <c r="P170" i="31"/>
  <c r="Q169" i="31"/>
  <c r="P169" i="31"/>
  <c r="Q168" i="31"/>
  <c r="P168" i="31"/>
  <c r="Q167" i="31"/>
  <c r="P167" i="31"/>
  <c r="Q166" i="31"/>
  <c r="P166" i="31"/>
  <c r="Q165" i="31"/>
  <c r="P165" i="31"/>
  <c r="Q164" i="31"/>
  <c r="P164" i="31"/>
  <c r="Q163" i="31"/>
  <c r="P163" i="31"/>
  <c r="Q162" i="31"/>
  <c r="P162" i="31"/>
  <c r="Q161" i="31"/>
  <c r="P161" i="31"/>
  <c r="Q160" i="31"/>
  <c r="P160" i="31"/>
  <c r="Q159" i="31"/>
  <c r="P159" i="31"/>
  <c r="Q158" i="31"/>
  <c r="P158" i="31"/>
  <c r="Q157" i="31"/>
  <c r="P157" i="31"/>
  <c r="Q156" i="31"/>
  <c r="P156" i="31"/>
  <c r="Q155" i="31"/>
  <c r="P155" i="31"/>
  <c r="Q154" i="31"/>
  <c r="P154" i="31"/>
  <c r="Q153" i="31"/>
  <c r="P153" i="31"/>
  <c r="Q152" i="31"/>
  <c r="P152" i="31"/>
  <c r="Q151" i="31"/>
  <c r="P151" i="31"/>
  <c r="Q150" i="31"/>
  <c r="P150" i="31"/>
  <c r="Q149" i="31"/>
  <c r="P149" i="31"/>
  <c r="Q148" i="31"/>
  <c r="P148" i="31"/>
  <c r="Q147" i="31"/>
  <c r="P147" i="31"/>
  <c r="Q146" i="31"/>
  <c r="P146" i="31"/>
  <c r="Q145" i="31"/>
  <c r="P145" i="31"/>
  <c r="Q144" i="31"/>
  <c r="P144" i="31"/>
  <c r="Q143" i="31"/>
  <c r="P143" i="31"/>
  <c r="Q142" i="31"/>
  <c r="P142" i="31"/>
  <c r="Q141" i="31"/>
  <c r="P141" i="31"/>
  <c r="Q140" i="31"/>
  <c r="P140" i="31"/>
  <c r="Q139" i="31"/>
  <c r="P139" i="31"/>
  <c r="Q138" i="31"/>
  <c r="P138" i="31"/>
  <c r="Q137" i="31"/>
  <c r="P137" i="31"/>
  <c r="Q136" i="31"/>
  <c r="P136" i="31"/>
  <c r="Q135" i="31"/>
  <c r="P135" i="31"/>
  <c r="Q134" i="31"/>
  <c r="P134" i="31"/>
  <c r="Q133" i="31"/>
  <c r="P133" i="31"/>
  <c r="Q132" i="31"/>
  <c r="P132" i="31"/>
  <c r="Q131" i="31"/>
  <c r="P131" i="31"/>
  <c r="Q130" i="31"/>
  <c r="P130" i="31"/>
  <c r="Q129" i="31"/>
  <c r="P129" i="31"/>
  <c r="Q128" i="31"/>
  <c r="P128" i="31"/>
  <c r="Q127" i="31"/>
  <c r="P127" i="31"/>
  <c r="Q126" i="31"/>
  <c r="P126" i="31"/>
  <c r="Q125" i="31"/>
  <c r="P125" i="31"/>
  <c r="Q124" i="31"/>
  <c r="P124" i="31"/>
  <c r="Q123" i="31"/>
  <c r="P123" i="31"/>
  <c r="Q122" i="31"/>
  <c r="P122" i="31"/>
  <c r="Q121" i="31"/>
  <c r="P121" i="31"/>
  <c r="Q120" i="31"/>
  <c r="P120" i="31"/>
  <c r="Q119" i="31"/>
  <c r="P119" i="31"/>
  <c r="Q118" i="31"/>
  <c r="P118" i="31"/>
  <c r="Q117" i="31"/>
  <c r="P117" i="31"/>
  <c r="Q116" i="31"/>
  <c r="P116" i="31"/>
  <c r="Q115" i="31"/>
  <c r="P115" i="31"/>
  <c r="Q114" i="31"/>
  <c r="P114" i="31"/>
  <c r="Q113" i="31"/>
  <c r="P113" i="31"/>
  <c r="Q112" i="31"/>
  <c r="P112" i="31"/>
  <c r="Q111" i="31"/>
  <c r="P111" i="31"/>
  <c r="Q110" i="31"/>
  <c r="P110" i="31"/>
  <c r="Q109" i="31"/>
  <c r="P109" i="31"/>
  <c r="Q108" i="31"/>
  <c r="P108" i="31"/>
  <c r="Q107" i="31"/>
  <c r="P107" i="31"/>
  <c r="Q106" i="31"/>
  <c r="P106" i="31"/>
  <c r="Q105" i="31"/>
  <c r="P105" i="31"/>
  <c r="Q104" i="31"/>
  <c r="P104" i="31"/>
  <c r="Q103" i="31"/>
  <c r="P103" i="31"/>
  <c r="Q102" i="31"/>
  <c r="P102" i="31"/>
  <c r="Q101" i="31"/>
  <c r="P101" i="31"/>
  <c r="Q100" i="31"/>
  <c r="P100" i="31"/>
  <c r="Q99" i="31"/>
  <c r="P99" i="31"/>
  <c r="Q98" i="31"/>
  <c r="P98" i="31"/>
  <c r="Q97" i="31"/>
  <c r="P97" i="31"/>
  <c r="Q96" i="31"/>
  <c r="P96" i="31"/>
  <c r="Q95" i="31"/>
  <c r="P95" i="31"/>
  <c r="Q94" i="31"/>
  <c r="P94" i="31"/>
  <c r="Q93" i="31"/>
  <c r="P93" i="31"/>
  <c r="Q92" i="31"/>
  <c r="P92" i="31"/>
  <c r="Q91" i="31"/>
  <c r="P91" i="31"/>
  <c r="Q90" i="31"/>
  <c r="P90" i="31"/>
  <c r="Q89" i="31"/>
  <c r="P89" i="31"/>
  <c r="Q88" i="31"/>
  <c r="P88" i="31"/>
  <c r="Q87" i="31"/>
  <c r="P87" i="31"/>
  <c r="Q86" i="31"/>
  <c r="P86" i="31"/>
  <c r="Q85" i="31"/>
  <c r="P85" i="31"/>
  <c r="Q84" i="31"/>
  <c r="P84" i="31"/>
  <c r="Q83" i="31"/>
  <c r="P83" i="31"/>
  <c r="Q82" i="31"/>
  <c r="P82" i="31"/>
  <c r="Q81" i="31"/>
  <c r="P81" i="31"/>
  <c r="Q80" i="31"/>
  <c r="P80" i="31"/>
  <c r="Q79" i="31"/>
  <c r="P79" i="31"/>
  <c r="Q78" i="31"/>
  <c r="P78" i="31"/>
  <c r="Q77" i="31"/>
  <c r="P77" i="31"/>
  <c r="Q76" i="31"/>
  <c r="P76" i="31"/>
  <c r="Q75" i="31"/>
  <c r="P75" i="31"/>
  <c r="Q74" i="31"/>
  <c r="P74" i="31"/>
  <c r="Q73" i="31"/>
  <c r="P73" i="31"/>
  <c r="Q72" i="31"/>
  <c r="P72" i="31"/>
  <c r="Q71" i="31"/>
  <c r="P71" i="31"/>
  <c r="Q70" i="31"/>
  <c r="P70" i="31"/>
  <c r="Q69" i="31"/>
  <c r="P69" i="31"/>
  <c r="Q68" i="31"/>
  <c r="P68" i="31"/>
  <c r="Q67" i="31"/>
  <c r="P67" i="31"/>
  <c r="Q66" i="31"/>
  <c r="P66" i="31"/>
  <c r="Q65" i="31"/>
  <c r="P65" i="31"/>
  <c r="Q64" i="31"/>
  <c r="P64" i="31"/>
  <c r="Q63" i="31"/>
  <c r="P63" i="31"/>
  <c r="Q62" i="31"/>
  <c r="P62" i="31"/>
  <c r="Q61" i="31"/>
  <c r="P61" i="31"/>
  <c r="Q60" i="31"/>
  <c r="P60" i="31"/>
  <c r="Q59" i="31"/>
  <c r="P59" i="31"/>
  <c r="Q58" i="31"/>
  <c r="P58" i="31"/>
  <c r="Q57" i="31"/>
  <c r="P57" i="31"/>
  <c r="Q56" i="31"/>
  <c r="P56" i="31"/>
  <c r="Q55" i="31"/>
  <c r="P55" i="31"/>
  <c r="Q54" i="31"/>
  <c r="P54" i="31"/>
  <c r="Q53" i="31"/>
  <c r="P53" i="31"/>
  <c r="Q52" i="31"/>
  <c r="P52" i="31"/>
  <c r="Q736" i="31"/>
  <c r="Q735" i="31"/>
  <c r="Q734" i="31"/>
  <c r="Q733" i="31"/>
  <c r="Q732" i="31"/>
  <c r="Q731" i="31"/>
  <c r="Q730" i="31"/>
  <c r="Q729" i="31"/>
  <c r="Q728" i="31"/>
  <c r="Q727" i="31"/>
  <c r="Q726" i="31"/>
  <c r="Q725" i="31"/>
  <c r="Q724" i="31"/>
  <c r="Q723" i="31"/>
  <c r="Q722" i="31"/>
  <c r="Q721" i="31"/>
  <c r="Q720" i="31"/>
  <c r="Q719" i="31"/>
  <c r="Q718" i="31"/>
  <c r="Q717" i="31"/>
  <c r="Q716" i="31"/>
  <c r="Q715" i="31"/>
  <c r="Q714" i="31"/>
  <c r="Q713" i="31"/>
  <c r="Q712" i="31"/>
  <c r="Q711" i="31"/>
  <c r="Q710" i="31"/>
  <c r="Q709" i="31"/>
  <c r="Q708" i="31"/>
  <c r="Q707" i="31"/>
  <c r="Q706" i="31"/>
  <c r="Q705" i="31"/>
  <c r="Q704" i="31"/>
  <c r="Q703" i="31"/>
  <c r="Q702" i="31"/>
  <c r="Q701" i="31"/>
  <c r="Q700" i="31"/>
  <c r="Q699" i="31"/>
  <c r="Q698" i="31"/>
  <c r="Q697" i="31"/>
  <c r="Q696" i="31"/>
  <c r="Q695" i="31"/>
  <c r="Q694" i="31"/>
  <c r="Q693" i="31"/>
  <c r="Q692" i="31"/>
  <c r="Q691" i="31"/>
  <c r="Q690" i="31"/>
  <c r="Q689" i="31"/>
  <c r="Q688" i="31"/>
  <c r="Q687" i="31"/>
  <c r="Q686" i="31"/>
  <c r="Q685" i="31"/>
  <c r="Q684" i="31"/>
  <c r="Q683" i="31"/>
  <c r="Q682" i="31"/>
  <c r="Q681" i="31"/>
  <c r="Q680" i="31"/>
  <c r="Q679" i="31"/>
  <c r="Q678" i="31"/>
  <c r="Q677" i="31"/>
  <c r="Q676" i="31"/>
  <c r="Q675" i="31"/>
  <c r="Q674" i="31"/>
  <c r="Q673" i="31"/>
  <c r="Q672" i="31"/>
  <c r="Q671" i="31"/>
  <c r="Q670" i="31"/>
  <c r="Q669" i="31"/>
  <c r="Q668" i="31"/>
  <c r="Q667" i="31"/>
  <c r="Q666" i="31"/>
  <c r="Q665" i="31"/>
  <c r="Q664" i="31"/>
  <c r="Q663" i="31"/>
  <c r="Q662" i="31"/>
  <c r="Q661" i="31"/>
  <c r="Q660" i="31"/>
  <c r="Q659" i="31"/>
  <c r="Q658" i="31"/>
  <c r="Q657" i="31"/>
  <c r="Q656" i="31"/>
  <c r="Q655" i="31"/>
  <c r="Q654" i="31"/>
  <c r="Q653" i="31"/>
  <c r="Q652" i="31"/>
  <c r="Q651" i="31"/>
  <c r="Q650" i="31"/>
  <c r="Q649" i="31"/>
  <c r="Q648" i="31"/>
  <c r="Q647" i="31"/>
  <c r="Q646" i="31"/>
  <c r="Q645" i="31"/>
  <c r="Q644" i="31"/>
  <c r="Q643" i="31"/>
  <c r="Q642" i="31"/>
  <c r="Q641" i="31"/>
  <c r="Q640" i="31"/>
  <c r="Q639" i="31"/>
  <c r="Q638" i="31"/>
  <c r="Q637" i="31"/>
  <c r="Q636" i="31"/>
  <c r="Q635" i="31"/>
  <c r="Q634" i="31"/>
  <c r="Q633" i="31"/>
  <c r="Q632" i="31"/>
  <c r="Q631" i="31"/>
  <c r="Q630" i="31"/>
  <c r="Q629" i="31"/>
  <c r="Q628" i="31"/>
  <c r="Q627" i="31"/>
  <c r="Q626" i="31"/>
  <c r="Q625" i="31"/>
  <c r="Q624" i="31"/>
  <c r="Q623" i="31"/>
  <c r="Q622" i="31"/>
  <c r="Q621" i="31"/>
  <c r="Q620" i="31"/>
  <c r="Q619" i="31"/>
  <c r="Q618" i="31"/>
  <c r="Q617" i="31"/>
  <c r="Q616" i="31"/>
  <c r="Q615" i="31"/>
  <c r="Q614" i="31"/>
  <c r="Q613" i="31"/>
  <c r="Q612" i="31"/>
  <c r="Q611" i="31"/>
  <c r="Q610" i="31"/>
  <c r="Q609" i="31"/>
  <c r="Q608" i="31"/>
  <c r="Q607" i="31"/>
  <c r="Q606" i="31"/>
  <c r="Q605" i="31"/>
  <c r="Q604" i="31"/>
  <c r="Q603" i="31"/>
  <c r="Q602" i="31"/>
  <c r="Q601" i="31"/>
  <c r="Q600" i="31"/>
  <c r="Q599" i="31"/>
  <c r="Q598" i="31"/>
  <c r="Q597" i="31"/>
  <c r="Q596" i="31"/>
  <c r="Q595" i="31"/>
  <c r="Q594" i="31"/>
  <c r="Q593" i="31"/>
  <c r="Q592" i="31"/>
  <c r="Q591" i="31"/>
  <c r="Q590" i="31"/>
  <c r="Q589" i="31"/>
  <c r="Q588" i="31"/>
  <c r="Q587" i="31"/>
  <c r="Q586" i="31"/>
  <c r="Q585" i="31"/>
  <c r="Q584" i="31"/>
  <c r="Q583" i="31"/>
  <c r="Q582" i="31"/>
  <c r="Q581" i="31"/>
  <c r="Q580" i="31"/>
  <c r="Q579" i="31"/>
  <c r="Q578" i="31"/>
  <c r="Q577" i="31"/>
  <c r="Q576" i="31"/>
  <c r="Q575" i="31"/>
  <c r="Q574" i="31"/>
  <c r="Q573" i="31"/>
  <c r="Q572" i="31"/>
  <c r="Q571" i="31"/>
  <c r="Q570" i="31"/>
  <c r="Q569" i="31"/>
  <c r="Q568" i="31"/>
  <c r="Q567" i="31"/>
  <c r="Q566" i="31"/>
  <c r="Q565" i="31"/>
  <c r="Q564" i="31"/>
  <c r="Q563" i="31"/>
  <c r="Q562" i="31"/>
  <c r="Q561" i="31"/>
  <c r="Q560" i="31"/>
  <c r="Q559" i="31"/>
  <c r="Q558" i="31"/>
  <c r="Q557" i="31"/>
  <c r="Q556" i="31"/>
  <c r="Q555" i="31"/>
  <c r="Q554" i="31"/>
  <c r="Q553" i="31"/>
  <c r="Q552" i="31"/>
  <c r="Q551" i="31"/>
  <c r="Q550" i="31"/>
  <c r="Q549" i="31"/>
  <c r="Q548" i="31"/>
  <c r="Q547" i="31"/>
  <c r="Q546" i="31"/>
  <c r="Q545" i="31"/>
  <c r="Q544" i="31"/>
  <c r="Q543" i="31"/>
  <c r="Q542" i="31"/>
  <c r="Q541" i="31"/>
  <c r="Q540" i="31"/>
  <c r="Q539" i="31"/>
  <c r="Q538" i="31"/>
  <c r="Q537" i="31"/>
  <c r="Q536" i="31"/>
  <c r="Q535" i="31"/>
  <c r="Q534" i="31"/>
  <c r="Q533" i="31"/>
  <c r="Q532" i="31"/>
  <c r="Q531" i="31"/>
  <c r="Q530" i="31"/>
  <c r="Q529" i="31"/>
  <c r="Q528" i="31"/>
  <c r="Q527" i="31"/>
  <c r="Q526" i="31"/>
  <c r="Q525" i="31"/>
  <c r="Q524" i="31"/>
  <c r="Q523" i="31"/>
  <c r="Q522" i="31"/>
  <c r="Q521" i="31"/>
  <c r="Q520" i="31"/>
  <c r="Q519" i="31"/>
  <c r="Q518" i="31"/>
  <c r="Q517" i="31"/>
  <c r="Q516" i="31"/>
  <c r="Q515" i="31"/>
  <c r="Q514" i="31"/>
  <c r="Q513" i="31"/>
  <c r="Q512" i="31"/>
  <c r="Q511" i="31"/>
  <c r="Q510" i="31"/>
  <c r="Q509" i="31"/>
  <c r="Q508" i="31"/>
  <c r="Q507" i="31"/>
  <c r="Q506" i="31"/>
  <c r="Q505" i="31"/>
  <c r="Q504" i="31"/>
  <c r="Q503" i="31"/>
  <c r="Q502" i="31"/>
  <c r="Q501" i="31"/>
  <c r="Q500" i="31"/>
  <c r="Q499" i="31"/>
  <c r="Q498" i="31"/>
  <c r="Q497" i="31"/>
  <c r="Q496" i="31"/>
  <c r="Q495" i="31"/>
  <c r="Q494" i="31"/>
  <c r="Q493" i="31"/>
  <c r="Q492" i="31"/>
  <c r="Q491" i="31"/>
  <c r="Q490" i="31"/>
  <c r="Q489" i="31"/>
  <c r="Q488" i="31"/>
  <c r="Q487" i="31"/>
  <c r="Q486" i="31"/>
  <c r="Q485" i="31"/>
  <c r="Q484" i="31"/>
  <c r="Q483" i="31"/>
  <c r="Q482" i="31"/>
  <c r="Q481" i="31"/>
  <c r="Q480" i="31"/>
  <c r="Q479" i="31"/>
  <c r="Q478" i="31"/>
  <c r="Q477" i="31"/>
  <c r="Q476" i="31"/>
  <c r="Q475" i="31"/>
  <c r="Q474" i="31"/>
  <c r="Q473" i="31"/>
  <c r="Q472" i="31"/>
  <c r="Q471" i="31"/>
  <c r="Q470" i="31"/>
  <c r="Q469" i="31"/>
  <c r="Q468" i="31"/>
  <c r="Q467" i="31"/>
  <c r="Q466" i="31"/>
  <c r="Q465" i="31"/>
  <c r="Q464" i="31"/>
  <c r="Q463" i="31"/>
  <c r="Q462" i="31"/>
  <c r="Q461" i="31"/>
  <c r="Q460" i="31"/>
  <c r="Q459" i="31"/>
  <c r="Q458" i="31"/>
  <c r="Q457" i="31"/>
  <c r="Q456" i="31"/>
  <c r="Q455" i="31"/>
  <c r="Q454" i="31"/>
  <c r="Q453" i="31"/>
  <c r="Q452" i="31"/>
  <c r="Q451" i="31"/>
  <c r="Q450" i="31"/>
  <c r="Q449" i="31"/>
  <c r="Q448" i="31"/>
  <c r="Q447" i="31"/>
  <c r="Q446" i="31"/>
  <c r="Q445" i="31"/>
  <c r="Q444" i="31"/>
  <c r="Q443" i="31"/>
  <c r="Q442" i="31"/>
  <c r="Q441" i="31"/>
  <c r="Q440" i="31"/>
  <c r="Q439" i="31"/>
  <c r="Q438" i="31"/>
  <c r="Q437" i="31"/>
  <c r="Q436" i="31"/>
  <c r="Q435" i="31"/>
  <c r="Q434" i="31"/>
  <c r="Q433" i="31"/>
  <c r="Q432" i="31"/>
  <c r="Q431" i="31"/>
  <c r="Q430" i="31"/>
  <c r="Q429" i="31"/>
  <c r="Q428" i="31"/>
  <c r="Q427" i="31"/>
  <c r="Q426" i="31"/>
  <c r="Q425" i="31"/>
  <c r="Q424" i="31"/>
  <c r="Q423" i="31"/>
  <c r="Q422" i="31"/>
  <c r="Q421" i="31"/>
  <c r="Q420" i="31"/>
  <c r="Q419" i="31"/>
  <c r="Q418" i="31"/>
  <c r="Q417" i="31"/>
  <c r="Q416" i="31"/>
  <c r="Q415" i="31"/>
  <c r="Q414" i="31"/>
  <c r="Q413" i="31"/>
  <c r="Q412" i="31"/>
  <c r="Q411" i="31"/>
  <c r="Q410" i="31"/>
  <c r="Q409" i="31"/>
  <c r="Q408" i="31"/>
  <c r="Q407" i="31"/>
  <c r="Q406" i="31"/>
  <c r="Q405" i="31"/>
  <c r="Q404" i="31"/>
  <c r="Q403" i="31"/>
  <c r="Q402" i="31"/>
  <c r="Q401" i="31"/>
  <c r="Q400" i="31"/>
  <c r="Q399" i="31"/>
  <c r="Q398" i="31"/>
  <c r="Q397" i="31"/>
  <c r="Q396" i="31"/>
  <c r="Q395" i="31"/>
  <c r="Q394" i="31"/>
  <c r="Q393" i="31"/>
  <c r="Q392" i="31"/>
  <c r="Q391" i="31"/>
  <c r="Q390" i="31"/>
  <c r="Q389" i="31"/>
  <c r="Q388" i="31"/>
  <c r="Q387" i="31"/>
  <c r="Q386" i="31"/>
  <c r="Q385" i="31"/>
  <c r="Q383" i="31"/>
  <c r="Q382" i="31"/>
  <c r="P748" i="31"/>
  <c r="P747" i="31"/>
  <c r="P746" i="31"/>
  <c r="P745" i="31"/>
  <c r="P744" i="31"/>
  <c r="P743" i="31"/>
  <c r="P742" i="31"/>
  <c r="P741" i="31"/>
  <c r="P740" i="31"/>
  <c r="P739" i="31"/>
  <c r="P738" i="31"/>
  <c r="P737" i="31"/>
  <c r="P736" i="31"/>
  <c r="P735" i="31"/>
  <c r="P734" i="31"/>
  <c r="P733" i="31"/>
  <c r="P732" i="31"/>
  <c r="P731" i="31"/>
  <c r="P730" i="31"/>
  <c r="P729" i="31"/>
  <c r="P728" i="31"/>
  <c r="P727" i="31"/>
  <c r="P726" i="31"/>
  <c r="P725" i="31"/>
  <c r="P724" i="31"/>
  <c r="P723" i="31"/>
  <c r="P722" i="31"/>
  <c r="P721" i="31"/>
  <c r="P720" i="31"/>
  <c r="P719" i="31"/>
  <c r="P718" i="31"/>
  <c r="P717" i="31"/>
  <c r="P716" i="31"/>
  <c r="P715" i="31"/>
  <c r="P714" i="31"/>
  <c r="P713" i="31"/>
  <c r="P712" i="31"/>
  <c r="P711" i="31"/>
  <c r="P710" i="31"/>
  <c r="P709" i="31"/>
  <c r="P708" i="31"/>
  <c r="P707" i="31"/>
  <c r="P706" i="31"/>
  <c r="P705" i="31"/>
  <c r="P704" i="31"/>
  <c r="P703" i="31"/>
  <c r="P702" i="31"/>
  <c r="P701" i="31"/>
  <c r="P700" i="31"/>
  <c r="P699" i="31"/>
  <c r="P698" i="31"/>
  <c r="P697" i="31"/>
  <c r="P696" i="31"/>
  <c r="P695" i="31"/>
  <c r="P694" i="31"/>
  <c r="P693" i="31"/>
  <c r="P692" i="31"/>
  <c r="P691" i="31"/>
  <c r="P690" i="31"/>
  <c r="P689" i="31"/>
  <c r="P688" i="31"/>
  <c r="P687" i="31"/>
  <c r="P686" i="31"/>
  <c r="P685" i="31"/>
  <c r="P684" i="31"/>
  <c r="P683" i="31"/>
  <c r="P682" i="31"/>
  <c r="P681" i="31"/>
  <c r="P680" i="31"/>
  <c r="P679" i="31"/>
  <c r="P678" i="31"/>
  <c r="P677" i="31"/>
  <c r="P676" i="31"/>
  <c r="P675" i="31"/>
  <c r="P674" i="31"/>
  <c r="P673" i="31"/>
  <c r="P672" i="31"/>
  <c r="P671" i="31"/>
  <c r="P670" i="31"/>
  <c r="P669" i="31"/>
  <c r="P668" i="31"/>
  <c r="P667" i="31"/>
  <c r="P666" i="31"/>
  <c r="P665" i="31"/>
  <c r="P664" i="31"/>
  <c r="P663" i="31"/>
  <c r="P662" i="31"/>
  <c r="P661" i="31"/>
  <c r="P660" i="31"/>
  <c r="P659" i="31"/>
  <c r="P658" i="31"/>
  <c r="P657" i="31"/>
  <c r="P656" i="31"/>
  <c r="P655" i="31"/>
  <c r="P654" i="31"/>
  <c r="P653" i="31"/>
  <c r="P652" i="31"/>
  <c r="P651" i="31"/>
  <c r="P650" i="31"/>
  <c r="P649" i="31"/>
  <c r="P648" i="31"/>
  <c r="P647" i="31"/>
  <c r="P646" i="31"/>
  <c r="P645" i="31"/>
  <c r="P644" i="31"/>
  <c r="P643" i="31"/>
  <c r="P642" i="31"/>
  <c r="P641" i="31"/>
  <c r="P640" i="31"/>
  <c r="P639" i="31"/>
  <c r="P638" i="31"/>
  <c r="P637" i="31"/>
  <c r="P636" i="31"/>
  <c r="P635" i="31"/>
  <c r="P634" i="31"/>
  <c r="P633" i="31"/>
  <c r="P632" i="31"/>
  <c r="P631" i="31"/>
  <c r="P630" i="31"/>
  <c r="P629" i="31"/>
  <c r="P628" i="31"/>
  <c r="P627" i="31"/>
  <c r="P626" i="31"/>
  <c r="P625" i="31"/>
  <c r="P624" i="31"/>
  <c r="P623" i="31"/>
  <c r="P622" i="31"/>
  <c r="P621" i="31"/>
  <c r="P620" i="31"/>
  <c r="P619" i="31"/>
  <c r="P618" i="31"/>
  <c r="P617" i="31"/>
  <c r="P616" i="31"/>
  <c r="P615" i="31"/>
  <c r="P614" i="31"/>
  <c r="P613" i="31"/>
  <c r="P612" i="31"/>
  <c r="P611" i="31"/>
  <c r="P610" i="31"/>
  <c r="P609" i="31"/>
  <c r="P608" i="31"/>
  <c r="P607" i="31"/>
  <c r="P606" i="31"/>
  <c r="P605" i="31"/>
  <c r="P604" i="31"/>
  <c r="P603" i="31"/>
  <c r="P602" i="31"/>
  <c r="P601" i="31"/>
  <c r="P600" i="31"/>
  <c r="P599" i="31"/>
  <c r="P598" i="31"/>
  <c r="P597" i="31"/>
  <c r="P596" i="31"/>
  <c r="P595" i="31"/>
  <c r="P594" i="31"/>
  <c r="P593" i="31"/>
  <c r="P592" i="31"/>
  <c r="P591" i="31"/>
  <c r="P590" i="31"/>
  <c r="P589" i="31"/>
  <c r="P588" i="31"/>
  <c r="P587" i="31"/>
  <c r="P586" i="31"/>
  <c r="P585" i="31"/>
  <c r="P584" i="31"/>
  <c r="P583" i="31"/>
  <c r="P582" i="31"/>
  <c r="P581" i="31"/>
  <c r="P580" i="31"/>
  <c r="P579" i="31"/>
  <c r="P578" i="31"/>
  <c r="P577" i="31"/>
  <c r="P576" i="31"/>
  <c r="P575" i="31"/>
  <c r="P574" i="31"/>
  <c r="P573" i="31"/>
  <c r="P572" i="31"/>
  <c r="P571" i="31"/>
  <c r="P570" i="31"/>
  <c r="P569" i="31"/>
  <c r="P568" i="31"/>
  <c r="P567" i="31"/>
  <c r="P566" i="31"/>
  <c r="P565" i="31"/>
  <c r="P564" i="31"/>
  <c r="P563" i="31"/>
  <c r="P562" i="31"/>
  <c r="P561" i="31"/>
  <c r="P560" i="31"/>
  <c r="P559" i="31"/>
  <c r="P558" i="31"/>
  <c r="P557" i="31"/>
  <c r="P556" i="31"/>
  <c r="P555" i="31"/>
  <c r="P554" i="31"/>
  <c r="P553" i="31"/>
  <c r="P552" i="31"/>
  <c r="P551" i="31"/>
  <c r="P550" i="31"/>
  <c r="P549" i="31"/>
  <c r="P548" i="31"/>
  <c r="P547" i="31"/>
  <c r="P546" i="31"/>
  <c r="P545" i="31"/>
  <c r="P544" i="31"/>
  <c r="P543" i="31"/>
  <c r="P542" i="31"/>
  <c r="P541" i="31"/>
  <c r="P540" i="31"/>
  <c r="P539" i="31"/>
  <c r="P538" i="31"/>
  <c r="P537" i="31"/>
  <c r="P536" i="31"/>
  <c r="P535" i="31"/>
  <c r="P534" i="31"/>
  <c r="P533" i="31"/>
  <c r="P532" i="31"/>
  <c r="P531" i="31"/>
  <c r="P530" i="31"/>
  <c r="P529" i="31"/>
  <c r="P528" i="31"/>
  <c r="P527" i="31"/>
  <c r="P526" i="31"/>
  <c r="P525" i="31"/>
  <c r="P524" i="31"/>
  <c r="P523" i="31"/>
  <c r="P522" i="31"/>
  <c r="P521" i="31"/>
  <c r="P520" i="31"/>
  <c r="P519" i="31"/>
  <c r="P518" i="31"/>
  <c r="P517" i="31"/>
  <c r="P516" i="31"/>
  <c r="P515" i="31"/>
  <c r="P514" i="31"/>
  <c r="P513" i="31"/>
  <c r="P512" i="31"/>
  <c r="P511" i="31"/>
  <c r="P510" i="31"/>
  <c r="P509" i="31"/>
  <c r="P508" i="31"/>
  <c r="P507" i="31"/>
  <c r="P506" i="31"/>
  <c r="P505" i="31"/>
  <c r="P504" i="31"/>
  <c r="P503" i="31"/>
  <c r="P502" i="31"/>
  <c r="P501" i="31"/>
  <c r="P500" i="31"/>
  <c r="P499" i="31"/>
  <c r="P498" i="31"/>
  <c r="P497" i="31"/>
  <c r="P496" i="31"/>
  <c r="P495" i="31"/>
  <c r="P494" i="31"/>
  <c r="P493" i="31"/>
  <c r="P492" i="31"/>
  <c r="P491" i="31"/>
  <c r="P490" i="31"/>
  <c r="P489" i="31"/>
  <c r="P488" i="31"/>
  <c r="P487" i="31"/>
  <c r="P486" i="31"/>
  <c r="P485" i="31"/>
  <c r="P484" i="31"/>
  <c r="P483" i="31"/>
  <c r="P482" i="31"/>
  <c r="P481" i="31"/>
  <c r="P480" i="31"/>
  <c r="P479" i="31"/>
  <c r="P478" i="31"/>
  <c r="P477" i="31"/>
  <c r="P476" i="31"/>
  <c r="P475" i="31"/>
  <c r="P474" i="31"/>
  <c r="P473" i="31"/>
  <c r="P472" i="31"/>
  <c r="P471" i="31"/>
  <c r="P470" i="31"/>
  <c r="P469" i="31"/>
  <c r="P468" i="31"/>
  <c r="P467" i="31"/>
  <c r="P466" i="31"/>
  <c r="P465" i="31"/>
  <c r="P464" i="31"/>
  <c r="P463" i="31"/>
  <c r="P462" i="31"/>
  <c r="P461" i="31"/>
  <c r="P460" i="31"/>
  <c r="P459" i="31"/>
  <c r="P458" i="31"/>
  <c r="P457" i="31"/>
  <c r="P456" i="31"/>
  <c r="P455" i="31"/>
  <c r="P454" i="31"/>
  <c r="P453" i="31"/>
  <c r="P452" i="31"/>
  <c r="P451" i="31"/>
  <c r="P450" i="31"/>
  <c r="P449" i="31"/>
  <c r="P448" i="31"/>
  <c r="P447" i="31"/>
  <c r="P446" i="31"/>
  <c r="P445" i="31"/>
  <c r="P444" i="31"/>
  <c r="P443" i="31"/>
  <c r="P442" i="31"/>
  <c r="P441" i="31"/>
  <c r="P440" i="31"/>
  <c r="P439" i="31"/>
  <c r="P438" i="31"/>
  <c r="P437" i="31"/>
  <c r="P436" i="31"/>
  <c r="P435" i="31"/>
  <c r="P434" i="31"/>
  <c r="P433" i="31"/>
  <c r="P432" i="31"/>
  <c r="P431" i="31"/>
  <c r="P430" i="31"/>
  <c r="P429" i="31"/>
  <c r="P428" i="31"/>
  <c r="P427" i="31"/>
  <c r="P426" i="31"/>
  <c r="P425" i="31"/>
  <c r="P424" i="31"/>
  <c r="P423" i="31"/>
  <c r="P422" i="31"/>
  <c r="P421" i="31"/>
  <c r="P420" i="31"/>
  <c r="P419" i="31"/>
  <c r="P418" i="31"/>
  <c r="P417" i="31"/>
  <c r="P416" i="31"/>
  <c r="P415" i="31"/>
  <c r="P414" i="31"/>
  <c r="P413" i="31"/>
  <c r="P412" i="31"/>
  <c r="P411" i="31"/>
  <c r="P410" i="31"/>
  <c r="P409" i="31"/>
  <c r="P408" i="31"/>
  <c r="P407" i="31"/>
  <c r="P406" i="31"/>
  <c r="P405" i="31"/>
  <c r="P404" i="31"/>
  <c r="P403" i="31"/>
  <c r="P402" i="31"/>
  <c r="P401" i="31"/>
  <c r="P400" i="31"/>
  <c r="P399" i="31"/>
  <c r="P398" i="31"/>
  <c r="P397" i="31"/>
  <c r="P396" i="31"/>
  <c r="P395" i="31"/>
  <c r="P394" i="31"/>
  <c r="P393" i="31"/>
  <c r="P392" i="31"/>
  <c r="P391" i="31"/>
  <c r="P390" i="31"/>
  <c r="P389" i="31"/>
  <c r="P388" i="31"/>
  <c r="P387" i="31"/>
  <c r="P386" i="31"/>
  <c r="P385" i="31"/>
  <c r="P384" i="31"/>
  <c r="P383" i="31"/>
  <c r="P382" i="31"/>
  <c r="P381" i="31"/>
  <c r="P380" i="31"/>
  <c r="P379" i="31"/>
  <c r="P378" i="31"/>
  <c r="R4" i="30"/>
  <c r="S148" i="30"/>
  <c r="R148" i="30"/>
  <c r="S147" i="30"/>
  <c r="R147" i="30"/>
  <c r="S146" i="30"/>
  <c r="R146" i="30"/>
  <c r="S145" i="30"/>
  <c r="R145" i="30"/>
  <c r="S144" i="30"/>
  <c r="R144" i="30"/>
  <c r="S143" i="30"/>
  <c r="R143" i="30"/>
  <c r="S142" i="30"/>
  <c r="R142" i="30"/>
  <c r="S141" i="30"/>
  <c r="R141" i="30"/>
  <c r="S140" i="30"/>
  <c r="R140" i="30"/>
  <c r="S139" i="30"/>
  <c r="R139" i="30"/>
  <c r="S138" i="30"/>
  <c r="R138" i="30"/>
  <c r="S137" i="30"/>
  <c r="R137" i="30"/>
  <c r="S136" i="30"/>
  <c r="R136" i="30"/>
  <c r="S135" i="30"/>
  <c r="R135" i="30"/>
  <c r="S134" i="30"/>
  <c r="R134" i="30"/>
  <c r="S133" i="30"/>
  <c r="R133" i="30"/>
  <c r="S132" i="30"/>
  <c r="R132" i="30"/>
  <c r="S131" i="30"/>
  <c r="R131" i="30"/>
  <c r="S130" i="30"/>
  <c r="R130" i="30"/>
  <c r="S129" i="30"/>
  <c r="R129" i="30"/>
  <c r="S128" i="30"/>
  <c r="R128" i="30"/>
  <c r="S127" i="30"/>
  <c r="R127" i="30"/>
  <c r="S126" i="30"/>
  <c r="R126" i="30"/>
  <c r="S125" i="30"/>
  <c r="R125" i="30"/>
  <c r="S124" i="30"/>
  <c r="R124" i="30"/>
  <c r="S123" i="30"/>
  <c r="R123" i="30"/>
  <c r="S122" i="30"/>
  <c r="R122" i="30"/>
  <c r="S121" i="30"/>
  <c r="R121" i="30"/>
  <c r="S120" i="30"/>
  <c r="R120" i="30"/>
  <c r="S119" i="30"/>
  <c r="R119" i="30"/>
  <c r="S118" i="30"/>
  <c r="R118" i="30"/>
  <c r="S117" i="30"/>
  <c r="R117" i="30"/>
  <c r="S116" i="30"/>
  <c r="R116" i="30"/>
  <c r="S115" i="30"/>
  <c r="R115" i="30"/>
  <c r="S114" i="30"/>
  <c r="R114" i="30"/>
  <c r="S113" i="30"/>
  <c r="R113" i="30"/>
  <c r="S112" i="30"/>
  <c r="R112" i="30"/>
  <c r="S111" i="30"/>
  <c r="R111" i="30"/>
  <c r="S110" i="30"/>
  <c r="R110" i="30"/>
  <c r="S109" i="30"/>
  <c r="R109" i="30"/>
  <c r="S108" i="30"/>
  <c r="R108" i="30"/>
  <c r="S107" i="30"/>
  <c r="R107" i="30"/>
  <c r="S106" i="30"/>
  <c r="R106" i="30"/>
  <c r="S105" i="30"/>
  <c r="R105" i="30"/>
  <c r="S104" i="30"/>
  <c r="R104" i="30"/>
  <c r="S103" i="30"/>
  <c r="R103" i="30"/>
  <c r="S102" i="30"/>
  <c r="R102" i="30"/>
  <c r="S101" i="30"/>
  <c r="R101" i="30"/>
  <c r="S100" i="30"/>
  <c r="R100" i="30"/>
  <c r="S99" i="30"/>
  <c r="R99" i="30"/>
  <c r="S98" i="30"/>
  <c r="R98" i="30"/>
  <c r="S97" i="30"/>
  <c r="R97" i="30"/>
  <c r="S96" i="30"/>
  <c r="R96" i="30"/>
  <c r="S95" i="30"/>
  <c r="R95" i="30"/>
  <c r="S94" i="30"/>
  <c r="R94" i="30"/>
  <c r="S93" i="30"/>
  <c r="R93" i="30"/>
  <c r="S92" i="30"/>
  <c r="R92" i="30"/>
  <c r="S91" i="30"/>
  <c r="R91" i="30"/>
  <c r="S90" i="30"/>
  <c r="R90" i="30"/>
  <c r="S89" i="30"/>
  <c r="R89" i="30"/>
  <c r="S88" i="30"/>
  <c r="R88" i="30"/>
  <c r="S87" i="30"/>
  <c r="R87" i="30"/>
  <c r="S86" i="30"/>
  <c r="R86" i="30"/>
  <c r="S85" i="30"/>
  <c r="R85" i="30"/>
  <c r="S84" i="30"/>
  <c r="R84" i="30"/>
  <c r="S83" i="30"/>
  <c r="R83" i="30"/>
  <c r="S82" i="30"/>
  <c r="R82" i="30"/>
  <c r="S81" i="30"/>
  <c r="R81" i="30"/>
  <c r="S80" i="30"/>
  <c r="R80" i="30"/>
  <c r="S79" i="30"/>
  <c r="R79" i="30"/>
  <c r="S78" i="30"/>
  <c r="R78" i="30"/>
  <c r="S77" i="30"/>
  <c r="R77" i="30"/>
  <c r="S76" i="30"/>
  <c r="R76" i="30"/>
  <c r="S75" i="30"/>
  <c r="R75" i="30"/>
  <c r="S74" i="30"/>
  <c r="R74" i="30"/>
  <c r="S73" i="30"/>
  <c r="R73" i="30"/>
  <c r="S72" i="30"/>
  <c r="R72" i="30"/>
  <c r="S71" i="30"/>
  <c r="R71" i="30"/>
  <c r="S70" i="30"/>
  <c r="R70" i="30"/>
  <c r="S69" i="30"/>
  <c r="R69" i="30"/>
  <c r="S68" i="30"/>
  <c r="R68" i="30"/>
  <c r="S67" i="30"/>
  <c r="R67" i="30"/>
  <c r="S66" i="30"/>
  <c r="R66" i="30"/>
  <c r="S65" i="30"/>
  <c r="R65" i="30"/>
  <c r="S64" i="30"/>
  <c r="R64" i="30"/>
  <c r="S63" i="30"/>
  <c r="R63" i="30"/>
  <c r="S62" i="30"/>
  <c r="R62" i="30"/>
  <c r="S61" i="30"/>
  <c r="R61" i="30"/>
  <c r="S60" i="30"/>
  <c r="R60" i="30"/>
  <c r="S59" i="30"/>
  <c r="R59" i="30"/>
  <c r="S58" i="30"/>
  <c r="R58" i="30"/>
  <c r="S57" i="30"/>
  <c r="R57" i="30"/>
  <c r="S56" i="30"/>
  <c r="R56" i="30"/>
  <c r="S55" i="30"/>
  <c r="R55" i="30"/>
  <c r="S54" i="30"/>
  <c r="R54" i="30"/>
  <c r="S53" i="30"/>
  <c r="R53" i="30"/>
  <c r="S52" i="30"/>
  <c r="R52" i="30"/>
  <c r="U4" i="35"/>
  <c r="B8" i="39"/>
  <c r="C6" i="39"/>
  <c r="E5" i="39" s="1"/>
  <c r="A1" i="25"/>
  <c r="A1" i="26"/>
  <c r="A1" i="14"/>
  <c r="A1" i="35"/>
  <c r="A1" i="32"/>
  <c r="A1" i="31"/>
  <c r="A1" i="30"/>
  <c r="M4" i="25"/>
  <c r="V4" i="26"/>
  <c r="P4" i="14"/>
  <c r="S6" i="30"/>
  <c r="C6" i="41"/>
  <c r="S7" i="30"/>
  <c r="C7" i="41"/>
  <c r="S8" i="30"/>
  <c r="C8" i="41"/>
  <c r="S9" i="30"/>
  <c r="C9" i="41"/>
  <c r="S10" i="30"/>
  <c r="C10" i="41"/>
  <c r="S11" i="30"/>
  <c r="C11" i="41"/>
  <c r="S12" i="30"/>
  <c r="C12" i="41"/>
  <c r="S13" i="30"/>
  <c r="C13" i="41"/>
  <c r="S14" i="30"/>
  <c r="C14" i="41"/>
  <c r="S15" i="30"/>
  <c r="C15" i="41"/>
  <c r="S16" i="30"/>
  <c r="C16" i="41"/>
  <c r="S17" i="30"/>
  <c r="C17" i="41"/>
  <c r="S18" i="30"/>
  <c r="C18" i="41"/>
  <c r="S19" i="30"/>
  <c r="C19" i="41"/>
  <c r="S20" i="30"/>
  <c r="C20" i="41"/>
  <c r="S21" i="30"/>
  <c r="C21" i="41"/>
  <c r="S22" i="30"/>
  <c r="C22" i="41"/>
  <c r="S23" i="30"/>
  <c r="C23" i="41"/>
  <c r="S24" i="30"/>
  <c r="C24" i="41" s="1"/>
  <c r="M1" i="25"/>
  <c r="Q379" i="31"/>
  <c r="Q380" i="31"/>
  <c r="Q384" i="31"/>
  <c r="Q378" i="31"/>
  <c r="Q381" i="31"/>
  <c r="W1" i="26"/>
  <c r="R1" i="30"/>
  <c r="A3" i="38"/>
  <c r="P1" i="14" l="1"/>
  <c r="U1" i="35"/>
  <c r="F11" i="41"/>
  <c r="J1" i="41" s="1"/>
  <c r="Q1" i="32"/>
  <c r="P1" i="31"/>
  <c r="S1" i="40"/>
</calcChain>
</file>

<file path=xl/comments1.xml><?xml version="1.0" encoding="utf-8"?>
<comments xmlns="http://schemas.openxmlformats.org/spreadsheetml/2006/main">
  <authors>
    <author>BCPS</author>
  </authors>
  <commentList>
    <comment ref="L5" authorId="0" shapeId="0">
      <text>
        <r>
          <rPr>
            <b/>
            <sz val="9"/>
            <color indexed="81"/>
            <rFont val="Tahoma"/>
            <family val="2"/>
          </rPr>
          <t>Change this value to the targeted Fall MAP score for this grade.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Change this value to the targeted Winter MAP score for this grade.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Change this value to the targeted Spring MAP score for this grade.</t>
        </r>
      </text>
    </comment>
  </commentList>
</comments>
</file>

<file path=xl/sharedStrings.xml><?xml version="1.0" encoding="utf-8"?>
<sst xmlns="http://schemas.openxmlformats.org/spreadsheetml/2006/main" count="554" uniqueCount="141">
  <si>
    <t>Student Name</t>
  </si>
  <si>
    <t>Skills Assessed</t>
  </si>
  <si>
    <t>Test Item Number</t>
  </si>
  <si>
    <t>Point Value</t>
  </si>
  <si>
    <t>Points</t>
  </si>
  <si>
    <t>Select Unit</t>
  </si>
  <si>
    <t>Unit 3</t>
  </si>
  <si>
    <t>Unit 4</t>
  </si>
  <si>
    <t>Unit 5</t>
  </si>
  <si>
    <t>Unit 1</t>
  </si>
  <si>
    <t>Unit 7</t>
  </si>
  <si>
    <t>Unit 6</t>
  </si>
  <si>
    <t>Unit 8</t>
  </si>
  <si>
    <t>Unit 9</t>
  </si>
  <si>
    <t>Unit 11</t>
  </si>
  <si>
    <t>Unit 10</t>
  </si>
  <si>
    <t>Unit 2</t>
  </si>
  <si>
    <t>%Correct</t>
  </si>
  <si>
    <t>Q1 (0-25%)</t>
  </si>
  <si>
    <t>Q2 (26-50%)</t>
  </si>
  <si>
    <t>Q3 (51-75%)</t>
  </si>
  <si>
    <t>Q4 (76-100%)</t>
  </si>
  <si>
    <t>Proficiency</t>
  </si>
  <si>
    <t>&gt;=85%:</t>
  </si>
  <si>
    <t>=</t>
  </si>
  <si>
    <t># of students:</t>
  </si>
  <si>
    <t>100 percent:</t>
  </si>
  <si>
    <t>Teacher:</t>
  </si>
  <si>
    <t>0 Students</t>
  </si>
  <si>
    <t>Doubleclick to Select Another Printer</t>
  </si>
  <si>
    <t>Doubleclick to Print!!</t>
  </si>
  <si>
    <t>Doubleclick to Print!</t>
  </si>
  <si>
    <t>Doubleclick 
to Print!</t>
  </si>
  <si>
    <r>
      <rPr>
        <b/>
        <sz val="16"/>
        <color theme="3"/>
        <rFont val="Arial"/>
        <family val="2"/>
      </rPr>
      <t>Step 1:</t>
    </r>
    <r>
      <rPr>
        <sz val="16"/>
        <rFont val="Arial"/>
        <family val="2"/>
      </rPr>
      <t xml:space="preserve"> Enter your name:</t>
    </r>
  </si>
  <si>
    <r>
      <rPr>
        <b/>
        <sz val="16"/>
        <color theme="3"/>
        <rFont val="Arial"/>
        <family val="2"/>
      </rPr>
      <t xml:space="preserve">Step 2: </t>
    </r>
    <r>
      <rPr>
        <sz val="16"/>
        <rFont val="Arial"/>
        <family val="2"/>
      </rPr>
      <t>Who reads the announcements?</t>
    </r>
  </si>
  <si>
    <r>
      <rPr>
        <b/>
        <sz val="16"/>
        <color theme="3"/>
        <rFont val="Arial"/>
        <family val="2"/>
      </rPr>
      <t>Step 3:</t>
    </r>
    <r>
      <rPr>
        <sz val="16"/>
        <rFont val="Arial"/>
        <family val="2"/>
      </rPr>
      <t xml:space="preserve"> Enter class list, starting here:</t>
    </r>
  </si>
  <si>
    <t>Measurement</t>
  </si>
  <si>
    <t>Percentage of Students 
Who Scored 80% or better:</t>
  </si>
  <si>
    <t>80 percent or better:</t>
  </si>
  <si>
    <t>Use addition and subtraction within 20 to solve word problems involving situations of adding to, putting together, and taking apart, by using objects, drawings, and equations.</t>
  </si>
  <si>
    <t>Add within 20.</t>
  </si>
  <si>
    <t>Grade 1</t>
  </si>
  <si>
    <t>Grade1</t>
  </si>
  <si>
    <t>Identify 2-dimensional figures</t>
  </si>
  <si>
    <t>Draw 2-dimensional figures</t>
  </si>
  <si>
    <t>Organize, represent, and interpret data</t>
  </si>
  <si>
    <t>Use nonstandard units to measure</t>
  </si>
  <si>
    <t>Partition circles and rectangles into two and  four eqaul shares</t>
  </si>
  <si>
    <t>Tell and write time in hours and half-hours using analog and digital clocks</t>
  </si>
  <si>
    <t>Use addition and subtraction within 20 to solve word problems involving situations of adding to, taking from, putting together, and taking apart by using objects, drawings, and equations.</t>
  </si>
  <si>
    <t>Solve word problems that call for addition of three whole numbers whose sum is less than or equal to 20.</t>
  </si>
  <si>
    <t>Relate counting to addition and subtraction.</t>
  </si>
  <si>
    <t>Count to 120 starting at any number less than 120. In this range, read and write numerals.</t>
  </si>
  <si>
    <t>Relate counting to addition.</t>
  </si>
  <si>
    <t>Add and subtract within 20.</t>
  </si>
  <si>
    <t>Compare two two-digit numbers based on meanings of the tens and ones digits, recording the results of comparisons with the symbols &gt;, =, and &lt;.</t>
  </si>
  <si>
    <t>Given a two-digit number, mentally find 10 more or 10 less than the number.</t>
  </si>
  <si>
    <t>Add within 100.</t>
  </si>
  <si>
    <t>Identify and describe 3-dimensional shapes by analyzing their defining attributes.</t>
  </si>
  <si>
    <t>Addition, Subtraction, and the Number System</t>
  </si>
  <si>
    <t>2-D Geometry</t>
  </si>
  <si>
    <t>Data Analysis</t>
  </si>
  <si>
    <t>3-D Geometry</t>
  </si>
  <si>
    <t>Spring</t>
  </si>
  <si>
    <t>Winter</t>
  </si>
  <si>
    <t>Fall</t>
  </si>
  <si>
    <t>Subgroup</t>
  </si>
  <si>
    <t>MAP</t>
  </si>
  <si>
    <t>Unit Assessments</t>
  </si>
  <si>
    <t>E=ELL, I=IEP, 5= 04, T=SST, G=GT, A=Asian, H=Hispanic, W=White, M=Multiracial</t>
  </si>
  <si>
    <t>Subgroups:</t>
  </si>
  <si>
    <t>Overall Unit Proficiency:</t>
  </si>
  <si>
    <t>Mr. Schultz</t>
  </si>
  <si>
    <t>Ms. Johnston</t>
  </si>
  <si>
    <t>Kevric Beatty</t>
  </si>
  <si>
    <t>Javier Brown</t>
  </si>
  <si>
    <t>Darius Duppins</t>
  </si>
  <si>
    <t>Praise Durojaiye</t>
  </si>
  <si>
    <t>Keola Edwards</t>
  </si>
  <si>
    <t>Andre Morrison</t>
  </si>
  <si>
    <t>Carter Moss</t>
  </si>
  <si>
    <t>Reina Preston</t>
  </si>
  <si>
    <t>Simeon Reid</t>
  </si>
  <si>
    <t>Kevin Romero</t>
  </si>
  <si>
    <t>Jordan Siguenza</t>
  </si>
  <si>
    <t>Corey Simmons</t>
  </si>
  <si>
    <t>Kamirra Taylor</t>
  </si>
  <si>
    <t>Deasia Walker</t>
  </si>
  <si>
    <t>Frank Waterhouse</t>
  </si>
  <si>
    <t>Khloe Wells</t>
  </si>
  <si>
    <t>Alana Whitehead</t>
  </si>
  <si>
    <t>x</t>
  </si>
  <si>
    <t>Your Child's Score:</t>
  </si>
  <si>
    <t>Count to 120 starting with any number less than 120. In this range, read and write numerals.</t>
  </si>
  <si>
    <t>Understand subtraction as an unknown-addend problem.</t>
  </si>
  <si>
    <t>Subtract within 20.</t>
  </si>
  <si>
    <t>Percentage of Students
Who Scored 80% or better:</t>
  </si>
  <si>
    <t>Bryce Pearsell</t>
  </si>
  <si>
    <t>Lyric Jonfrancis</t>
  </si>
  <si>
    <t>Thanks,_x000D_
Ms. Johnston</t>
  </si>
  <si>
    <t>Please sign and return to indicate that you have reviewed this information:_x000D_
_x000D_
X__________________________________</t>
  </si>
  <si>
    <t>1 Student</t>
  </si>
  <si>
    <t>17 Students</t>
  </si>
  <si>
    <t xml:space="preserve">                                                                                       Monday, October 23, 2017</t>
  </si>
  <si>
    <t>Cal Ripkin</t>
  </si>
  <si>
    <t>Brooks Robinson</t>
  </si>
  <si>
    <t>Frank Robinson</t>
  </si>
  <si>
    <t>Jim Palmer</t>
  </si>
  <si>
    <t>Eddie Murray</t>
  </si>
  <si>
    <t>Manny Machado</t>
  </si>
  <si>
    <t>Boog Powell</t>
  </si>
  <si>
    <t>Brady Anderson</t>
  </si>
  <si>
    <t>Rafael Palmero</t>
  </si>
  <si>
    <t>Melvin Mora</t>
  </si>
  <si>
    <t>Dave McNally</t>
  </si>
  <si>
    <t>Ken Singleton</t>
  </si>
  <si>
    <t>Paul Blair</t>
  </si>
  <si>
    <t>Mark Belanger</t>
  </si>
  <si>
    <t>Davey Johnson</t>
  </si>
  <si>
    <t>Miguel Tejada</t>
  </si>
  <si>
    <t>Adam Jones</t>
  </si>
  <si>
    <t>Jonathan Schoop</t>
  </si>
  <si>
    <t>Dear Parents of Cal Ripkin,_x000D_
_x000D_
We just finished our Unit 3 test on addition, subtraction, and the number system.  _x000D_
Cal scored 18 out of 18, which is 100%!  Congratulations!!_x000D_
Below, you will find a breakdown of your child's performance.</t>
  </si>
  <si>
    <t>Next up is Unit 4: Data Analysis.</t>
  </si>
  <si>
    <t>Dear Parents of Brooks Robinson,_x000D_
_x000D_
We just finished our Unit 3 test on addition, subtraction, and the number system.  _x000D_
Brooks scored 17 out of 18, which is 94%!  Congratulations!!_x000D_
Below, you will find a breakdown of your child's performance.</t>
  </si>
  <si>
    <t>Dear Parents of Frank Robinson,_x000D_
_x000D_
We just finished our Unit 3 test on addition, subtraction, and the number system.  _x000D_
Frank scored 18 out of 18, which is 100%!  Congratulations!!_x000D_
Below, you will find a breakdown of your child's performance.</t>
  </si>
  <si>
    <t>Dear Parents of Jim Palmer,_x000D_
_x000D_
We just finished our Unit 3 test on addition, subtraction, and the number system.  _x000D_
Jim scored 17 out of 18, which is 94%!  Congratulations!!_x000D_
Below, you will find a breakdown of your child's performance.</t>
  </si>
  <si>
    <t>Dear Parents of Eddie Murray,_x000D_
_x000D_
We just finished our Unit 3 test on addition, subtraction, and the number system.  _x000D_
Eddie scored 12 out of 18, which is 67%._x000D_
Below, you will find a breakdown of your child's performance.</t>
  </si>
  <si>
    <t>Dear Parents of Manny Machado,_x000D_
_x000D_
We just finished our Unit 3 test on addition, subtraction, and the number system.  _x000D_
Manny scored 17 out of 18, which is 94%!  Congratulations!!_x000D_
Below, you will find a breakdown of your child's performance.</t>
  </si>
  <si>
    <t>Dear Parents of Boog Powell,_x000D_
_x000D_
We just finished our Unit 3 test on addition, subtraction, and the number system.  _x000D_
Boog scored 18 out of 18, which is 100%!  Congratulations!!_x000D_
Below, you will find a breakdown of your child's performance.</t>
  </si>
  <si>
    <t>Dear Parents of Brady Anderson,_x000D_
_x000D_
We just finished our Unit 3 test on addition, subtraction, and the number system.  _x000D_
Brady scored 17 out of 18, which is 94%!  Congratulations!!_x000D_
Below, you will find a breakdown of your child's performance.</t>
  </si>
  <si>
    <t>Dear Parents of Rafael Palmero,_x000D_
_x000D_
We just finished our Unit 3 test on addition, subtraction, and the number system.  _x000D_
Rafael scored 17 out of 18, which is 94%!  Congratulations!!_x000D_
Below, you will find a breakdown of your child's performance.</t>
  </si>
  <si>
    <t>Dear Parents of Melvin Mora,_x000D_
_x000D_
We just finished our Unit 3 test on addition, subtraction, and the number system.  _x000D_
Melvin scored 14.5 out of 18, which is 81%!  Congratulations!!_x000D_
Below, you will find a breakdown of your child's performance.</t>
  </si>
  <si>
    <t>Dear Parents of Dave McNally,_x000D_
_x000D_
We just finished our Unit 3 test on addition, subtraction, and the number system.  _x000D_
Dave scored 17 out of 18, which is 94%!  Congratulations!!_x000D_
Below, you will find a breakdown of your child's performance.</t>
  </si>
  <si>
    <t>Dear Parents of Ken Singleton,_x000D_
_x000D_
We just finished our Unit 3 test on addition, subtraction, and the number system.  _x000D_
Ken scored 18 out of 18, which is 100%!  Congratulations!!_x000D_
Below, you will find a breakdown of your child's performance.</t>
  </si>
  <si>
    <t>Dear Parents of Jonathan Schoop,_x000D_
_x000D_
We just finished our Unit 3 test on addition, subtraction, and the number system.  _x000D_
Jonathan scored 18 out of 18, which is 100%!  Congratulations!!_x000D_
Below, you will find a breakdown of your child's performance.</t>
  </si>
  <si>
    <t>Dear Parents of Paul Blair,_x000D_
_x000D_
We just finished our Unit 3 test on addition, subtraction, and the number system.  _x000D_
Paul scored 15 out of 18, which is 83%!  Congratulations!!_x000D_
Below, you will find a breakdown of your child's performance.</t>
  </si>
  <si>
    <t>Dear Parents of Mark Belanger,_x000D_
_x000D_
We just finished our Unit 3 test on addition, subtraction, and the number system.  _x000D_
Mark scored 16 out of 18, which is 89%!  Congratulations!!_x000D_
Below, you will find a breakdown of your child's performance.</t>
  </si>
  <si>
    <t>Dear Parents of Davey Johnson,_x000D_
_x000D_
We just finished our Unit 3 test on addition, subtraction, and the number system.  _x000D_
Davey scored 18 out of 18, which is 100%!  Congratulations!!_x000D_
Below, you will find a breakdown of your child's performance.</t>
  </si>
  <si>
    <t>Dear Parents of Miguel Tejada,_x000D_
_x000D_
We just finished our Unit 3 test on addition, subtraction, and the number system.  _x000D_
Miguel scored 16 out of 18, which is 89%!  Congratulations!!_x000D_
Below, you will find a breakdown of your child's performance.</t>
  </si>
  <si>
    <t>Dear Parents of Adam Jones,_x000D_
_x000D_
We just finished our Unit 3 test on addition, subtraction, and the number system.  _x000D_
Adam scored 18 out of 18, which is 100%!  Congratulations!!_x000D_
Below, you will find a breakdown of your child's performance.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</si>
</sst>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&gt;=1]#,##0;[&lt;1]0.00"/>
  </numFmts>
  <fonts count="46" x14ac:knownFonts="1">
    <font>
      <sz val="10"/>
      <name val="Arial"/>
    </font>
    <font>
      <sz val="8"/>
      <name val="Arial"/>
      <family val="2"/>
    </font>
    <font>
      <b/>
      <sz val="12"/>
      <name val="Times New Roman"/>
      <family val="1"/>
    </font>
    <font>
      <sz val="12"/>
      <name val="Times New Roman"/>
      <family val="1"/>
    </font>
    <font>
      <sz val="10"/>
      <name val="Arial"/>
      <family val="2"/>
    </font>
    <font>
      <sz val="10"/>
      <color indexed="9"/>
      <name val="Arial"/>
      <family val="2"/>
    </font>
    <font>
      <sz val="14"/>
      <name val="Arial"/>
      <family val="2"/>
    </font>
    <font>
      <sz val="10"/>
      <name val="Arial"/>
      <family val="2"/>
    </font>
    <font>
      <u/>
      <sz val="12"/>
      <name val="Times New Roman"/>
      <family val="1"/>
    </font>
    <font>
      <sz val="20"/>
      <name val="Times New Roman"/>
      <family val="1"/>
    </font>
    <font>
      <sz val="10"/>
      <color theme="0"/>
      <name val="Arial"/>
      <family val="2"/>
    </font>
    <font>
      <sz val="2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6"/>
      <color theme="0"/>
      <name val="Arial"/>
      <family val="2"/>
    </font>
    <font>
      <b/>
      <sz val="14"/>
      <name val="Arial"/>
      <family val="2"/>
    </font>
    <font>
      <sz val="14"/>
      <color theme="0"/>
      <name val="Arial"/>
      <family val="2"/>
    </font>
    <font>
      <b/>
      <sz val="16"/>
      <name val="Times New Roman"/>
      <family val="1"/>
    </font>
    <font>
      <sz val="10"/>
      <name val="Arial"/>
      <family val="2"/>
    </font>
    <font>
      <sz val="12"/>
      <color theme="0"/>
      <name val="Arial"/>
      <family val="2"/>
    </font>
    <font>
      <sz val="12"/>
      <name val="Arial"/>
      <family val="2"/>
    </font>
    <font>
      <sz val="16"/>
      <name val="Arial"/>
      <family val="2"/>
    </font>
    <font>
      <b/>
      <sz val="16"/>
      <color theme="3"/>
      <name val="Arial"/>
      <family val="2"/>
    </font>
    <font>
      <b/>
      <sz val="10"/>
      <color theme="0"/>
      <name val="Arial"/>
      <family val="2"/>
    </font>
    <font>
      <sz val="11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name val="Times New Roman"/>
      <family val="1"/>
    </font>
    <font>
      <b/>
      <sz val="12"/>
      <color theme="0"/>
      <name val="Arial"/>
      <family val="2"/>
    </font>
    <font>
      <b/>
      <sz val="9"/>
      <color indexed="81"/>
      <name val="Tahoma"/>
      <family val="2"/>
    </font>
    <font>
      <sz val="15"/>
      <name val="Arial"/>
      <family val="2"/>
    </font>
    <font>
      <sz val="18"/>
      <name val="Calibri"/>
      <family val="2"/>
      <scheme val="minor"/>
    </font>
    <font>
      <u/>
      <sz val="12"/>
      <name val="Calibri"/>
      <family val="2"/>
      <scheme val="minor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sz val="16"/>
      <color indexed="9"/>
      <name val="Calibri"/>
      <family val="2"/>
      <scheme val="minor"/>
    </font>
    <font>
      <sz val="14"/>
      <name val="Calibri"/>
      <family val="2"/>
      <scheme val="minor"/>
    </font>
    <font>
      <sz val="16"/>
      <name val="Calibri"/>
      <family val="2"/>
      <scheme val="minor"/>
    </font>
    <font>
      <sz val="18"/>
      <color indexed="9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  <font>
      <sz val="17"/>
      <color indexed="9"/>
      <name val="Calibri"/>
      <family val="2"/>
      <scheme val="minor"/>
    </font>
    <font>
      <u/>
      <sz val="10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70C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4" tint="0.39994506668294322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3" fontId="18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</cellStyleXfs>
  <cellXfs count="222">
    <xf numFmtId="0" fontId="0" fillId="0" borderId="0" xfId="0"/>
    <xf numFmtId="0" fontId="3" fillId="0" borderId="2" xfId="0" applyFont="1" applyBorder="1" applyAlignment="1" applyProtection="1">
      <alignment horizontal="left" vertical="center"/>
      <protection locked="0"/>
    </xf>
    <xf numFmtId="0" fontId="0" fillId="0" borderId="0" xfId="0" applyProtection="1"/>
    <xf numFmtId="0" fontId="10" fillId="0" borderId="0" xfId="0" applyFont="1" applyProtection="1"/>
    <xf numFmtId="0" fontId="5" fillId="0" borderId="0" xfId="0" applyFont="1" applyProtection="1"/>
    <xf numFmtId="0" fontId="6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left"/>
    </xf>
    <xf numFmtId="0" fontId="7" fillId="0" borderId="0" xfId="0" applyFont="1" applyProtection="1"/>
    <xf numFmtId="0" fontId="3" fillId="0" borderId="2" xfId="0" applyFont="1" applyBorder="1" applyProtection="1">
      <protection locked="0"/>
    </xf>
    <xf numFmtId="0" fontId="3" fillId="0" borderId="0" xfId="0" applyFont="1" applyAlignment="1" applyProtection="1">
      <alignment horizontal="left" vertical="top" wrapText="1"/>
    </xf>
    <xf numFmtId="0" fontId="3" fillId="0" borderId="0" xfId="0" applyFont="1" applyProtection="1"/>
    <xf numFmtId="0" fontId="3" fillId="0" borderId="0" xfId="0" applyFont="1" applyAlignment="1" applyProtection="1">
      <alignment horizontal="center"/>
    </xf>
    <xf numFmtId="0" fontId="1" fillId="0" borderId="3" xfId="0" applyFont="1" applyBorder="1" applyAlignment="1" applyProtection="1">
      <alignment horizontal="right"/>
    </xf>
    <xf numFmtId="0" fontId="0" fillId="0" borderId="10" xfId="0" applyBorder="1" applyAlignment="1" applyProtection="1">
      <alignment horizontal="center" vertical="top"/>
    </xf>
    <xf numFmtId="0" fontId="0" fillId="0" borderId="3" xfId="0" applyBorder="1" applyProtection="1"/>
    <xf numFmtId="0" fontId="4" fillId="0" borderId="0" xfId="0" applyFont="1" applyProtection="1"/>
    <xf numFmtId="0" fontId="12" fillId="0" borderId="0" xfId="0" applyFont="1" applyAlignment="1" applyProtection="1">
      <alignment horizontal="right" vertical="center"/>
    </xf>
    <xf numFmtId="0" fontId="12" fillId="0" borderId="0" xfId="0" applyFont="1" applyAlignment="1" applyProtection="1">
      <alignment horizontal="left" vertical="center"/>
    </xf>
    <xf numFmtId="0" fontId="15" fillId="0" borderId="0" xfId="0" applyFont="1" applyProtection="1"/>
    <xf numFmtId="0" fontId="6" fillId="0" borderId="0" xfId="0" applyFont="1" applyProtection="1"/>
    <xf numFmtId="0" fontId="6" fillId="0" borderId="2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43" fontId="0" fillId="0" borderId="0" xfId="1" applyFont="1" applyProtection="1"/>
    <xf numFmtId="0" fontId="0" fillId="2" borderId="0" xfId="0" applyFill="1" applyProtection="1"/>
    <xf numFmtId="0" fontId="15" fillId="0" borderId="6" xfId="0" applyFont="1" applyFill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right" vertical="center"/>
    </xf>
    <xf numFmtId="0" fontId="21" fillId="0" borderId="0" xfId="0" applyFont="1" applyAlignment="1" applyProtection="1">
      <alignment horizontal="right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Alignment="1" applyProtection="1">
      <alignment vertical="center"/>
      <protection locked="0"/>
    </xf>
    <xf numFmtId="0" fontId="20" fillId="0" borderId="0" xfId="0" applyFont="1" applyFill="1" applyAlignment="1" applyProtection="1">
      <alignment vertical="center"/>
      <protection locked="0"/>
    </xf>
    <xf numFmtId="0" fontId="8" fillId="0" borderId="0" xfId="0" applyFont="1" applyProtection="1"/>
    <xf numFmtId="0" fontId="3" fillId="0" borderId="0" xfId="2" applyFont="1" applyBorder="1" applyProtection="1"/>
    <xf numFmtId="0" fontId="0" fillId="0" borderId="0" xfId="0" applyFill="1" applyProtection="1"/>
    <xf numFmtId="0" fontId="3" fillId="0" borderId="0" xfId="2" applyFont="1" applyBorder="1" applyAlignment="1" applyProtection="1">
      <alignment horizontal="center" vertical="center"/>
      <protection locked="0"/>
    </xf>
    <xf numFmtId="0" fontId="3" fillId="0" borderId="0" xfId="2" applyFont="1" applyProtection="1"/>
    <xf numFmtId="0" fontId="4" fillId="0" borderId="0" xfId="2" applyProtection="1"/>
    <xf numFmtId="0" fontId="4" fillId="0" borderId="0" xfId="2" applyBorder="1" applyProtection="1"/>
    <xf numFmtId="9" fontId="3" fillId="0" borderId="0" xfId="2" applyNumberFormat="1" applyFont="1" applyBorder="1" applyAlignment="1" applyProtection="1">
      <alignment horizontal="center" vertical="center"/>
    </xf>
    <xf numFmtId="0" fontId="3" fillId="0" borderId="5" xfId="2" applyFont="1" applyBorder="1" applyProtection="1"/>
    <xf numFmtId="0" fontId="4" fillId="0" borderId="0" xfId="2" applyFont="1" applyProtection="1"/>
    <xf numFmtId="0" fontId="25" fillId="0" borderId="16" xfId="2" applyFont="1" applyBorder="1" applyAlignment="1" applyProtection="1">
      <alignment horizontal="center" textRotation="90" wrapText="1"/>
    </xf>
    <xf numFmtId="0" fontId="25" fillId="0" borderId="15" xfId="2" applyFont="1" applyBorder="1" applyAlignment="1" applyProtection="1">
      <alignment horizontal="center" textRotation="90" wrapText="1"/>
    </xf>
    <xf numFmtId="0" fontId="25" fillId="0" borderId="17" xfId="2" applyFont="1" applyBorder="1" applyAlignment="1" applyProtection="1">
      <alignment horizontal="center" textRotation="90" wrapText="1"/>
    </xf>
    <xf numFmtId="0" fontId="25" fillId="0" borderId="18" xfId="2" applyFont="1" applyFill="1" applyBorder="1" applyAlignment="1" applyProtection="1">
      <alignment horizontal="center" textRotation="90" wrapText="1"/>
    </xf>
    <xf numFmtId="0" fontId="25" fillId="0" borderId="19" xfId="2" applyFont="1" applyFill="1" applyBorder="1" applyAlignment="1" applyProtection="1">
      <alignment horizontal="center" textRotation="90" wrapText="1"/>
    </xf>
    <xf numFmtId="0" fontId="25" fillId="0" borderId="20" xfId="2" applyFont="1" applyBorder="1" applyAlignment="1" applyProtection="1">
      <alignment horizontal="center" textRotation="90" wrapText="1"/>
    </xf>
    <xf numFmtId="0" fontId="25" fillId="0" borderId="20" xfId="2" applyFont="1" applyBorder="1" applyAlignment="1" applyProtection="1">
      <alignment horizontal="center" vertical="center" wrapText="1"/>
    </xf>
    <xf numFmtId="0" fontId="28" fillId="0" borderId="24" xfId="2" applyFont="1" applyFill="1" applyBorder="1" applyAlignment="1" applyProtection="1">
      <alignment horizontal="center" vertical="center"/>
    </xf>
    <xf numFmtId="0" fontId="28" fillId="0" borderId="25" xfId="2" applyFont="1" applyFill="1" applyBorder="1" applyAlignment="1" applyProtection="1">
      <alignment horizontal="center" vertical="center"/>
    </xf>
    <xf numFmtId="0" fontId="29" fillId="0" borderId="23" xfId="2" applyFont="1" applyFill="1" applyBorder="1" applyAlignment="1" applyProtection="1">
      <alignment horizontal="right" vertical="center" wrapText="1"/>
    </xf>
    <xf numFmtId="0" fontId="8" fillId="0" borderId="26" xfId="2" applyFont="1" applyBorder="1" applyAlignment="1" applyProtection="1">
      <alignment vertical="center" wrapText="1"/>
    </xf>
    <xf numFmtId="0" fontId="29" fillId="0" borderId="26" xfId="2" applyFont="1" applyBorder="1" applyAlignment="1" applyProtection="1">
      <alignment horizontal="center" vertical="center" wrapText="1"/>
    </xf>
    <xf numFmtId="0" fontId="2" fillId="5" borderId="28" xfId="2" applyFont="1" applyFill="1" applyBorder="1" applyAlignment="1" applyProtection="1">
      <alignment horizontal="center" vertical="center"/>
    </xf>
    <xf numFmtId="0" fontId="3" fillId="5" borderId="27" xfId="2" applyFont="1" applyFill="1" applyBorder="1" applyAlignment="1" applyProtection="1">
      <alignment horizontal="center" vertical="center"/>
    </xf>
    <xf numFmtId="0" fontId="3" fillId="5" borderId="8" xfId="2" applyFont="1" applyFill="1" applyBorder="1" applyAlignment="1" applyProtection="1">
      <alignment horizontal="center" vertical="center"/>
    </xf>
    <xf numFmtId="0" fontId="3" fillId="5" borderId="3" xfId="2" applyFont="1" applyFill="1" applyBorder="1" applyAlignment="1" applyProtection="1">
      <alignment horizontal="center" vertical="center"/>
    </xf>
    <xf numFmtId="0" fontId="4" fillId="0" borderId="29" xfId="2" applyFont="1" applyFill="1" applyBorder="1" applyAlignment="1" applyProtection="1">
      <alignment horizontal="center"/>
      <protection locked="0"/>
    </xf>
    <xf numFmtId="0" fontId="4" fillId="0" borderId="3" xfId="2" applyFont="1" applyFill="1" applyBorder="1" applyAlignment="1" applyProtection="1">
      <alignment horizontal="center"/>
      <protection locked="0"/>
    </xf>
    <xf numFmtId="0" fontId="4" fillId="0" borderId="30" xfId="2" applyFont="1" applyFill="1" applyBorder="1" applyAlignment="1" applyProtection="1">
      <alignment horizontal="center"/>
      <protection locked="0"/>
    </xf>
    <xf numFmtId="0" fontId="0" fillId="0" borderId="5" xfId="0" applyBorder="1" applyProtection="1"/>
    <xf numFmtId="9" fontId="0" fillId="0" borderId="4" xfId="0" applyNumberFormat="1" applyBorder="1" applyAlignment="1" applyProtection="1">
      <alignment horizontal="center"/>
    </xf>
    <xf numFmtId="0" fontId="0" fillId="0" borderId="0" xfId="0" applyBorder="1" applyProtection="1"/>
    <xf numFmtId="0" fontId="0" fillId="0" borderId="9" xfId="0" applyBorder="1" applyProtection="1"/>
    <xf numFmtId="9" fontId="0" fillId="0" borderId="7" xfId="0" applyNumberFormat="1" applyBorder="1" applyAlignment="1" applyProtection="1">
      <alignment horizontal="center"/>
    </xf>
    <xf numFmtId="0" fontId="4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36" xfId="0" applyFont="1" applyBorder="1" applyAlignment="1" applyProtection="1">
      <alignment horizontal="center" vertical="center" wrapText="1"/>
    </xf>
    <xf numFmtId="0" fontId="4" fillId="0" borderId="35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wrapText="1"/>
    </xf>
    <xf numFmtId="0" fontId="4" fillId="0" borderId="3" xfId="0" applyFont="1" applyBorder="1" applyAlignment="1" applyProtection="1">
      <alignment horizontal="center" vertical="center"/>
    </xf>
    <xf numFmtId="0" fontId="4" fillId="0" borderId="37" xfId="0" applyFont="1" applyBorder="1" applyAlignment="1" applyProtection="1">
      <alignment horizontal="center" vertical="center"/>
    </xf>
    <xf numFmtId="9" fontId="4" fillId="0" borderId="38" xfId="0" applyNumberFormat="1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12" fillId="0" borderId="32" xfId="0" applyFont="1" applyFill="1" applyBorder="1" applyAlignment="1" applyProtection="1">
      <alignment horizontal="center" vertical="center" wrapText="1"/>
    </xf>
    <xf numFmtId="0" fontId="32" fillId="0" borderId="0" xfId="0" applyFont="1" applyProtection="1"/>
    <xf numFmtId="0" fontId="13" fillId="3" borderId="1" xfId="0" applyFont="1" applyFill="1" applyBorder="1" applyAlignment="1" applyProtection="1">
      <alignment horizontal="center" vertical="center"/>
    </xf>
    <xf numFmtId="0" fontId="13" fillId="3" borderId="11" xfId="0" applyFont="1" applyFill="1" applyBorder="1" applyAlignment="1" applyProtection="1">
      <alignment horizontal="center" vertical="center"/>
    </xf>
    <xf numFmtId="0" fontId="13" fillId="3" borderId="12" xfId="0" applyFont="1" applyFill="1" applyBorder="1" applyAlignment="1" applyProtection="1">
      <alignment horizontal="center" vertical="center"/>
    </xf>
    <xf numFmtId="0" fontId="13" fillId="3" borderId="13" xfId="0" applyFont="1" applyFill="1" applyBorder="1" applyAlignment="1" applyProtection="1">
      <alignment horizontal="center" vertical="center"/>
    </xf>
    <xf numFmtId="0" fontId="13" fillId="3" borderId="8" xfId="0" applyFont="1" applyFill="1" applyBorder="1" applyAlignment="1" applyProtection="1">
      <alignment horizontal="center" vertical="center"/>
    </xf>
    <xf numFmtId="0" fontId="0" fillId="0" borderId="3" xfId="0" quotePrefix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9" fontId="11" fillId="0" borderId="4" xfId="0" applyNumberFormat="1" applyFont="1" applyBorder="1" applyAlignment="1" applyProtection="1">
      <alignment horizontal="center" vertical="center"/>
    </xf>
    <xf numFmtId="9" fontId="11" fillId="0" borderId="7" xfId="0" applyNumberFormat="1" applyFont="1" applyBorder="1" applyAlignment="1" applyProtection="1">
      <alignment horizontal="center" vertical="center"/>
    </xf>
    <xf numFmtId="0" fontId="23" fillId="2" borderId="0" xfId="0" applyFont="1" applyFill="1" applyAlignment="1" applyProtection="1">
      <alignment vertical="center"/>
      <protection locked="0"/>
    </xf>
    <xf numFmtId="0" fontId="6" fillId="0" borderId="0" xfId="0" applyFont="1" applyAlignment="1" applyProtection="1">
      <alignment horizontal="left" vertical="center" wrapText="1"/>
    </xf>
    <xf numFmtId="0" fontId="14" fillId="2" borderId="13" xfId="0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/>
      <protection locked="0"/>
    </xf>
    <xf numFmtId="0" fontId="14" fillId="2" borderId="8" xfId="0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left"/>
    </xf>
    <xf numFmtId="0" fontId="0" fillId="0" borderId="0" xfId="0" applyAlignment="1" applyProtection="1">
      <alignment horizontal="left"/>
    </xf>
    <xf numFmtId="0" fontId="32" fillId="0" borderId="0" xfId="0" applyFont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0" fontId="12" fillId="3" borderId="31" xfId="0" applyFont="1" applyFill="1" applyBorder="1" applyAlignment="1" applyProtection="1">
      <alignment horizontal="center" vertical="center" wrapText="1"/>
    </xf>
    <xf numFmtId="0" fontId="12" fillId="3" borderId="33" xfId="0" applyFont="1" applyFill="1" applyBorder="1" applyAlignment="1" applyProtection="1">
      <alignment horizontal="center" vertical="center" wrapText="1"/>
    </xf>
    <xf numFmtId="0" fontId="12" fillId="3" borderId="34" xfId="0" applyFont="1" applyFill="1" applyBorder="1" applyAlignment="1" applyProtection="1">
      <alignment horizontal="center" vertical="center" wrapText="1"/>
    </xf>
    <xf numFmtId="0" fontId="32" fillId="0" borderId="0" xfId="0" applyFont="1" applyAlignment="1" applyProtection="1">
      <alignment vertical="top"/>
    </xf>
    <xf numFmtId="0" fontId="32" fillId="0" borderId="0" xfId="0" applyFont="1" applyAlignment="1" applyProtection="1">
      <alignment wrapText="1"/>
    </xf>
    <xf numFmtId="0" fontId="32" fillId="0" borderId="0" xfId="0" applyFont="1" applyProtection="1"/>
    <xf numFmtId="0" fontId="16" fillId="2" borderId="0" xfId="0" applyFont="1" applyFill="1" applyAlignment="1" applyProtection="1">
      <alignment horizontal="center" vertical="center"/>
      <protection locked="0"/>
    </xf>
    <xf numFmtId="0" fontId="19" fillId="2" borderId="0" xfId="0" applyFont="1" applyFill="1" applyAlignment="1" applyProtection="1">
      <alignment horizontal="center" vertical="center"/>
      <protection locked="0"/>
    </xf>
    <xf numFmtId="0" fontId="17" fillId="0" borderId="26" xfId="2" applyFont="1" applyBorder="1" applyAlignment="1" applyProtection="1">
      <alignment horizontal="right" vertical="center" wrapText="1"/>
    </xf>
    <xf numFmtId="0" fontId="17" fillId="0" borderId="23" xfId="2" applyFont="1" applyBorder="1" applyAlignment="1" applyProtection="1">
      <alignment horizontal="right" vertical="center" wrapText="1"/>
    </xf>
    <xf numFmtId="9" fontId="9" fillId="0" borderId="22" xfId="2" applyNumberFormat="1" applyFont="1" applyBorder="1" applyAlignment="1" applyProtection="1">
      <alignment horizontal="center" vertical="center"/>
    </xf>
    <xf numFmtId="0" fontId="30" fillId="2" borderId="23" xfId="2" applyFont="1" applyFill="1" applyBorder="1" applyAlignment="1" applyProtection="1">
      <alignment horizontal="center" vertical="center" wrapText="1"/>
      <protection locked="0"/>
    </xf>
    <xf numFmtId="0" fontId="30" fillId="0" borderId="22" xfId="2" applyFont="1" applyBorder="1" applyAlignment="1" applyProtection="1">
      <alignment horizontal="center" vertical="center" wrapText="1"/>
      <protection locked="0"/>
    </xf>
    <xf numFmtId="0" fontId="30" fillId="0" borderId="21" xfId="2" applyFont="1" applyBorder="1" applyAlignment="1" applyProtection="1">
      <alignment horizontal="center" vertical="center" wrapText="1"/>
      <protection locked="0"/>
    </xf>
    <xf numFmtId="0" fontId="24" fillId="0" borderId="22" xfId="2" applyFont="1" applyFill="1" applyBorder="1" applyAlignment="1" applyProtection="1">
      <alignment horizontal="center" vertical="center" wrapText="1"/>
    </xf>
    <xf numFmtId="0" fontId="24" fillId="0" borderId="21" xfId="2" applyFont="1" applyFill="1" applyBorder="1" applyAlignment="1" applyProtection="1">
      <alignment horizontal="center" vertical="center" wrapText="1"/>
    </xf>
    <xf numFmtId="0" fontId="26" fillId="0" borderId="23" xfId="2" applyFont="1" applyFill="1" applyBorder="1" applyAlignment="1" applyProtection="1">
      <alignment horizontal="center" vertical="center"/>
    </xf>
    <xf numFmtId="0" fontId="27" fillId="0" borderId="22" xfId="2" applyFont="1" applyFill="1" applyBorder="1" applyAlignment="1" applyProtection="1">
      <alignment horizontal="center" vertical="center"/>
    </xf>
    <xf numFmtId="0" fontId="26" fillId="0" borderId="22" xfId="2" applyFont="1" applyFill="1" applyBorder="1" applyAlignment="1" applyProtection="1">
      <alignment horizontal="center" vertical="center"/>
    </xf>
    <xf numFmtId="0" fontId="26" fillId="0" borderId="21" xfId="2" applyFont="1" applyFill="1" applyBorder="1" applyAlignment="1" applyProtection="1">
      <alignment horizontal="center" vertical="center"/>
    </xf>
    <xf numFmtId="0" fontId="33" fillId="0" borderId="3" xfId="0" applyFont="1" applyBorder="1" applyAlignment="1" applyProtection="1">
      <alignment horizontal="center" vertical="center" wrapText="1"/>
    </xf>
    <xf numFmtId="0" fontId="34" fillId="0" borderId="3" xfId="0" applyFont="1" applyBorder="1" applyAlignment="1" applyProtection="1">
      <alignment horizontal="center" vertical="center" wrapText="1"/>
    </xf>
    <xf numFmtId="0" fontId="35" fillId="0" borderId="13" xfId="0" applyFont="1" applyBorder="1" applyAlignment="1" applyProtection="1">
      <alignment horizontal="center" vertical="center" wrapText="1"/>
    </xf>
    <xf numFmtId="0" fontId="35" fillId="0" borderId="13" xfId="0" applyFont="1" applyBorder="1" applyAlignment="1" applyProtection="1">
      <alignment horizontal="center" vertical="center" wrapText="1"/>
    </xf>
    <xf numFmtId="0" fontId="35" fillId="0" borderId="14" xfId="0" applyFont="1" applyBorder="1" applyAlignment="1" applyProtection="1">
      <alignment horizontal="center" vertical="center" wrapText="1"/>
    </xf>
    <xf numFmtId="0" fontId="35" fillId="0" borderId="8" xfId="0" applyFont="1" applyBorder="1" applyAlignment="1" applyProtection="1">
      <alignment horizontal="center" vertical="center" wrapText="1"/>
    </xf>
    <xf numFmtId="9" fontId="36" fillId="0" borderId="14" xfId="0" applyNumberFormat="1" applyFont="1" applyBorder="1" applyAlignment="1" applyProtection="1">
      <alignment horizontal="center" vertical="center"/>
    </xf>
    <xf numFmtId="9" fontId="36" fillId="0" borderId="8" xfId="0" applyNumberFormat="1" applyFont="1" applyBorder="1" applyAlignment="1" applyProtection="1">
      <alignment horizontal="center" vertical="center"/>
    </xf>
    <xf numFmtId="0" fontId="35" fillId="0" borderId="3" xfId="0" applyFont="1" applyBorder="1" applyAlignment="1" applyProtection="1">
      <alignment horizontal="center"/>
    </xf>
    <xf numFmtId="0" fontId="35" fillId="5" borderId="3" xfId="0" applyFont="1" applyFill="1" applyBorder="1" applyAlignment="1" applyProtection="1">
      <alignment horizontal="center" vertical="center"/>
    </xf>
    <xf numFmtId="0" fontId="35" fillId="0" borderId="5" xfId="0" applyFont="1" applyBorder="1" applyProtection="1"/>
    <xf numFmtId="0" fontId="35" fillId="0" borderId="0" xfId="0" applyFont="1" applyBorder="1" applyAlignment="1" applyProtection="1">
      <alignment horizontal="center" vertical="center"/>
      <protection locked="0"/>
    </xf>
    <xf numFmtId="0" fontId="35" fillId="0" borderId="0" xfId="0" applyFont="1" applyBorder="1" applyAlignment="1" applyProtection="1">
      <alignment horizontal="center" vertical="center"/>
    </xf>
    <xf numFmtId="9" fontId="35" fillId="0" borderId="0" xfId="0" applyNumberFormat="1" applyFont="1" applyBorder="1" applyAlignment="1" applyProtection="1">
      <alignment horizontal="center" vertical="center"/>
    </xf>
    <xf numFmtId="0" fontId="35" fillId="0" borderId="0" xfId="0" applyFont="1" applyProtection="1"/>
    <xf numFmtId="0" fontId="35" fillId="0" borderId="0" xfId="0" applyFont="1" applyBorder="1" applyAlignment="1" applyProtection="1">
      <alignment horizontal="center"/>
    </xf>
    <xf numFmtId="9" fontId="35" fillId="0" borderId="0" xfId="0" applyNumberFormat="1" applyFont="1" applyBorder="1" applyAlignment="1" applyProtection="1">
      <alignment horizontal="center"/>
    </xf>
    <xf numFmtId="0" fontId="35" fillId="0" borderId="0" xfId="0" applyFont="1" applyAlignment="1" applyProtection="1">
      <alignment horizontal="right"/>
    </xf>
    <xf numFmtId="0" fontId="35" fillId="0" borderId="13" xfId="0" applyFont="1" applyBorder="1" applyAlignment="1" applyProtection="1">
      <alignment horizontal="right" vertical="center" wrapText="1"/>
    </xf>
    <xf numFmtId="0" fontId="35" fillId="0" borderId="14" xfId="0" applyFont="1" applyBorder="1" applyAlignment="1" applyProtection="1">
      <alignment horizontal="right" vertical="center" wrapText="1"/>
    </xf>
    <xf numFmtId="0" fontId="35" fillId="0" borderId="8" xfId="0" applyFont="1" applyBorder="1" applyAlignment="1" applyProtection="1">
      <alignment horizontal="right" vertical="center" wrapText="1"/>
    </xf>
    <xf numFmtId="0" fontId="35" fillId="0" borderId="0" xfId="0" applyFont="1" applyAlignment="1" applyProtection="1">
      <alignment horizontal="center" vertical="center" wrapText="1"/>
    </xf>
    <xf numFmtId="0" fontId="35" fillId="0" borderId="13" xfId="0" applyFont="1" applyBorder="1" applyAlignment="1" applyProtection="1">
      <alignment horizontal="center" vertical="top" wrapText="1"/>
    </xf>
    <xf numFmtId="0" fontId="35" fillId="0" borderId="14" xfId="0" applyFont="1" applyBorder="1" applyAlignment="1" applyProtection="1">
      <alignment horizontal="center" vertical="top" wrapText="1"/>
    </xf>
    <xf numFmtId="0" fontId="35" fillId="0" borderId="8" xfId="0" applyFont="1" applyBorder="1" applyAlignment="1" applyProtection="1">
      <alignment horizontal="center" vertical="top" wrapText="1"/>
    </xf>
    <xf numFmtId="0" fontId="35" fillId="0" borderId="3" xfId="0" applyFont="1" applyBorder="1" applyAlignment="1" applyProtection="1">
      <alignment horizontal="left" vertical="top" wrapText="1"/>
    </xf>
    <xf numFmtId="0" fontId="37" fillId="2" borderId="9" xfId="0" applyFont="1" applyFill="1" applyBorder="1" applyAlignment="1" applyProtection="1">
      <alignment horizontal="center" vertical="center" wrapText="1"/>
      <protection locked="0"/>
    </xf>
    <xf numFmtId="0" fontId="37" fillId="4" borderId="7" xfId="0" applyFont="1" applyFill="1" applyBorder="1" applyAlignment="1" applyProtection="1">
      <alignment horizontal="center" vertical="center" wrapText="1"/>
      <protection locked="0"/>
    </xf>
    <xf numFmtId="0" fontId="35" fillId="0" borderId="3" xfId="0" applyFont="1" applyBorder="1" applyProtection="1"/>
    <xf numFmtId="0" fontId="35" fillId="0" borderId="3" xfId="0" applyFont="1" applyBorder="1" applyAlignment="1" applyProtection="1">
      <alignment horizontal="center" vertical="center"/>
    </xf>
    <xf numFmtId="0" fontId="35" fillId="0" borderId="3" xfId="0" applyFont="1" applyBorder="1" applyAlignment="1" applyProtection="1">
      <alignment horizontal="center"/>
      <protection locked="0"/>
    </xf>
    <xf numFmtId="0" fontId="35" fillId="0" borderId="0" xfId="0" applyFont="1" applyAlignment="1" applyProtection="1"/>
    <xf numFmtId="0" fontId="34" fillId="0" borderId="3" xfId="0" applyFont="1" applyBorder="1" applyAlignment="1" applyProtection="1">
      <alignment vertical="center" wrapText="1"/>
    </xf>
    <xf numFmtId="0" fontId="35" fillId="0" borderId="3" xfId="0" applyFont="1" applyBorder="1" applyAlignment="1" applyProtection="1">
      <alignment horizontal="center" vertical="center" wrapText="1"/>
    </xf>
    <xf numFmtId="0" fontId="38" fillId="0" borderId="13" xfId="0" applyFont="1" applyBorder="1" applyAlignment="1" applyProtection="1">
      <alignment horizontal="right" vertical="center" wrapText="1"/>
    </xf>
    <xf numFmtId="0" fontId="38" fillId="0" borderId="14" xfId="0" applyFont="1" applyBorder="1" applyAlignment="1" applyProtection="1">
      <alignment horizontal="right" vertical="center" wrapText="1"/>
    </xf>
    <xf numFmtId="0" fontId="38" fillId="0" borderId="8" xfId="0" applyFont="1" applyBorder="1" applyAlignment="1" applyProtection="1">
      <alignment horizontal="right" vertical="center" wrapText="1"/>
    </xf>
    <xf numFmtId="9" fontId="36" fillId="0" borderId="13" xfId="0" applyNumberFormat="1" applyFont="1" applyBorder="1" applyAlignment="1" applyProtection="1">
      <alignment horizontal="center" vertical="center"/>
    </xf>
    <xf numFmtId="0" fontId="39" fillId="0" borderId="0" xfId="0" applyFont="1" applyBorder="1" applyAlignment="1" applyProtection="1">
      <alignment vertical="center"/>
    </xf>
    <xf numFmtId="0" fontId="35" fillId="0" borderId="3" xfId="0" applyFont="1" applyBorder="1" applyAlignment="1" applyProtection="1">
      <alignment horizontal="center" vertical="center" wrapText="1"/>
    </xf>
    <xf numFmtId="0" fontId="35" fillId="0" borderId="3" xfId="0" applyFont="1" applyBorder="1" applyAlignment="1" applyProtection="1">
      <alignment horizontal="center" vertical="top" wrapText="1"/>
    </xf>
    <xf numFmtId="0" fontId="40" fillId="2" borderId="13" xfId="0" applyFont="1" applyFill="1" applyBorder="1" applyAlignment="1" applyProtection="1">
      <alignment horizontal="center" vertical="center" wrapText="1"/>
      <protection locked="0"/>
    </xf>
    <xf numFmtId="0" fontId="40" fillId="2" borderId="8" xfId="0" applyFont="1" applyFill="1" applyBorder="1" applyAlignment="1" applyProtection="1">
      <alignment horizontal="center" vertical="center" wrapText="1"/>
      <protection locked="0"/>
    </xf>
    <xf numFmtId="0" fontId="35" fillId="0" borderId="3" xfId="0" applyFont="1" applyFill="1" applyBorder="1" applyAlignment="1" applyProtection="1">
      <alignment horizontal="center" vertical="center"/>
    </xf>
    <xf numFmtId="0" fontId="35" fillId="0" borderId="0" xfId="0" applyFont="1" applyAlignment="1" applyProtection="1">
      <alignment horizontal="center"/>
    </xf>
    <xf numFmtId="9" fontId="35" fillId="0" borderId="0" xfId="0" applyNumberFormat="1" applyFont="1" applyAlignment="1" applyProtection="1">
      <alignment horizontal="center"/>
    </xf>
    <xf numFmtId="0" fontId="33" fillId="0" borderId="3" xfId="2" applyFont="1" applyBorder="1" applyAlignment="1" applyProtection="1">
      <alignment horizontal="center" vertical="center" wrapText="1"/>
    </xf>
    <xf numFmtId="0" fontId="41" fillId="0" borderId="3" xfId="2" applyFont="1" applyBorder="1" applyAlignment="1" applyProtection="1">
      <alignment horizontal="center" vertical="center" wrapText="1"/>
    </xf>
    <xf numFmtId="0" fontId="42" fillId="0" borderId="3" xfId="2" applyFont="1" applyBorder="1" applyAlignment="1" applyProtection="1">
      <alignment horizontal="center" vertical="center" wrapText="1"/>
    </xf>
    <xf numFmtId="0" fontId="35" fillId="0" borderId="13" xfId="2" applyFont="1" applyBorder="1" applyAlignment="1" applyProtection="1">
      <alignment horizontal="center" vertical="center" wrapText="1"/>
    </xf>
    <xf numFmtId="0" fontId="35" fillId="0" borderId="14" xfId="2" applyFont="1" applyBorder="1" applyAlignment="1" applyProtection="1">
      <alignment horizontal="center" vertical="center" wrapText="1"/>
    </xf>
    <xf numFmtId="0" fontId="35" fillId="0" borderId="8" xfId="2" applyFont="1" applyBorder="1" applyAlignment="1" applyProtection="1">
      <alignment horizontal="center" vertical="center" wrapText="1"/>
    </xf>
    <xf numFmtId="0" fontId="38" fillId="0" borderId="13" xfId="2" applyFont="1" applyBorder="1" applyAlignment="1" applyProtection="1">
      <alignment horizontal="right" vertical="center" wrapText="1" indent="1"/>
    </xf>
    <xf numFmtId="0" fontId="38" fillId="0" borderId="14" xfId="2" applyFont="1" applyBorder="1" applyAlignment="1" applyProtection="1">
      <alignment horizontal="right" vertical="center" wrapText="1" indent="1"/>
    </xf>
    <xf numFmtId="0" fontId="38" fillId="0" borderId="8" xfId="2" applyFont="1" applyBorder="1" applyAlignment="1" applyProtection="1">
      <alignment horizontal="right" vertical="center" wrapText="1" indent="1"/>
    </xf>
    <xf numFmtId="9" fontId="36" fillId="0" borderId="3" xfId="0" applyNumberFormat="1" applyFont="1" applyBorder="1" applyAlignment="1" applyProtection="1">
      <alignment horizontal="center" vertical="center"/>
    </xf>
    <xf numFmtId="9" fontId="36" fillId="0" borderId="0" xfId="0" applyNumberFormat="1" applyFont="1" applyBorder="1" applyAlignment="1" applyProtection="1">
      <alignment vertical="center"/>
    </xf>
    <xf numFmtId="0" fontId="35" fillId="0" borderId="0" xfId="2" applyFont="1" applyBorder="1" applyAlignment="1" applyProtection="1">
      <alignment horizontal="left" vertical="top" wrapText="1"/>
    </xf>
    <xf numFmtId="0" fontId="35" fillId="0" borderId="0" xfId="2" applyFont="1" applyAlignment="1" applyProtection="1">
      <alignment horizontal="left" vertical="top" wrapText="1"/>
    </xf>
    <xf numFmtId="0" fontId="35" fillId="0" borderId="15" xfId="2" applyFont="1" applyBorder="1" applyAlignment="1" applyProtection="1">
      <alignment horizontal="center" vertical="center" wrapText="1"/>
    </xf>
    <xf numFmtId="0" fontId="35" fillId="0" borderId="0" xfId="0" applyFont="1" applyAlignment="1" applyProtection="1">
      <alignment horizontal="center" vertical="top" wrapText="1"/>
    </xf>
    <xf numFmtId="0" fontId="43" fillId="2" borderId="9" xfId="2" applyFont="1" applyFill="1" applyBorder="1" applyAlignment="1" applyProtection="1">
      <alignment horizontal="center" vertical="center" wrapText="1"/>
      <protection locked="0"/>
    </xf>
    <xf numFmtId="0" fontId="43" fillId="2" borderId="10" xfId="2" applyFont="1" applyFill="1" applyBorder="1" applyAlignment="1" applyProtection="1">
      <alignment horizontal="center" vertical="center" wrapText="1"/>
      <protection locked="0"/>
    </xf>
    <xf numFmtId="0" fontId="35" fillId="0" borderId="0" xfId="2" applyFont="1" applyBorder="1" applyProtection="1"/>
    <xf numFmtId="0" fontId="35" fillId="0" borderId="0" xfId="2" applyFont="1" applyProtection="1"/>
    <xf numFmtId="0" fontId="35" fillId="0" borderId="3" xfId="2" applyFont="1" applyBorder="1" applyAlignment="1" applyProtection="1">
      <alignment horizontal="center" vertical="center"/>
    </xf>
    <xf numFmtId="0" fontId="35" fillId="0" borderId="3" xfId="2" applyFont="1" applyBorder="1" applyAlignment="1" applyProtection="1">
      <alignment horizontal="center" vertical="center"/>
      <protection locked="0"/>
    </xf>
    <xf numFmtId="0" fontId="35" fillId="0" borderId="3" xfId="0" applyFont="1" applyFill="1" applyBorder="1" applyAlignment="1" applyProtection="1">
      <alignment horizontal="center" vertical="center"/>
      <protection locked="0"/>
    </xf>
    <xf numFmtId="0" fontId="39" fillId="0" borderId="14" xfId="0" applyFont="1" applyBorder="1" applyAlignment="1" applyProtection="1">
      <alignment horizontal="right" vertical="center" wrapText="1"/>
    </xf>
    <xf numFmtId="0" fontId="39" fillId="0" borderId="8" xfId="0" applyFont="1" applyBorder="1" applyAlignment="1" applyProtection="1">
      <alignment horizontal="right" vertical="center" wrapText="1"/>
    </xf>
    <xf numFmtId="0" fontId="35" fillId="0" borderId="0" xfId="0" applyFont="1" applyAlignment="1" applyProtection="1">
      <alignment horizontal="left" vertical="top" wrapText="1"/>
    </xf>
    <xf numFmtId="0" fontId="35" fillId="0" borderId="15" xfId="0" applyFont="1" applyBorder="1" applyAlignment="1" applyProtection="1">
      <alignment horizontal="center" vertical="center" wrapText="1"/>
    </xf>
    <xf numFmtId="0" fontId="43" fillId="2" borderId="9" xfId="0" applyFont="1" applyFill="1" applyBorder="1" applyAlignment="1" applyProtection="1">
      <alignment horizontal="center" vertical="center" wrapText="1"/>
      <protection locked="0"/>
    </xf>
    <xf numFmtId="0" fontId="43" fillId="2" borderId="7" xfId="0" applyFont="1" applyFill="1" applyBorder="1" applyAlignment="1" applyProtection="1">
      <alignment horizontal="center" vertical="center" wrapText="1"/>
      <protection locked="0"/>
    </xf>
    <xf numFmtId="0" fontId="35" fillId="0" borderId="3" xfId="0" applyFont="1" applyBorder="1" applyAlignment="1" applyProtection="1">
      <alignment vertical="center"/>
    </xf>
    <xf numFmtId="0" fontId="35" fillId="0" borderId="3" xfId="0" applyFont="1" applyBorder="1" applyAlignment="1" applyProtection="1">
      <alignment horizontal="center" vertical="center"/>
      <protection locked="0"/>
    </xf>
    <xf numFmtId="0" fontId="39" fillId="0" borderId="3" xfId="0" applyFont="1" applyBorder="1" applyAlignment="1" applyProtection="1">
      <alignment horizontal="center" vertical="center" wrapText="1"/>
    </xf>
    <xf numFmtId="0" fontId="39" fillId="0" borderId="10" xfId="0" applyFont="1" applyBorder="1" applyAlignment="1" applyProtection="1">
      <alignment horizontal="right" vertical="center" wrapText="1"/>
    </xf>
    <xf numFmtId="0" fontId="39" fillId="0" borderId="7" xfId="0" applyFont="1" applyBorder="1" applyAlignment="1" applyProtection="1">
      <alignment horizontal="right" vertical="center" wrapText="1"/>
    </xf>
    <xf numFmtId="0" fontId="42" fillId="0" borderId="3" xfId="0" applyFont="1" applyBorder="1" applyAlignment="1" applyProtection="1">
      <alignment horizontal="center" vertical="top" wrapText="1"/>
    </xf>
    <xf numFmtId="0" fontId="42" fillId="0" borderId="13" xfId="0" applyFont="1" applyBorder="1" applyAlignment="1" applyProtection="1">
      <alignment horizontal="center" vertical="top" wrapText="1"/>
    </xf>
    <xf numFmtId="0" fontId="42" fillId="0" borderId="8" xfId="0" applyFont="1" applyBorder="1" applyAlignment="1" applyProtection="1">
      <alignment horizontal="center" vertical="top" wrapText="1"/>
    </xf>
    <xf numFmtId="0" fontId="40" fillId="2" borderId="9" xfId="0" applyFont="1" applyFill="1" applyBorder="1" applyAlignment="1" applyProtection="1">
      <alignment horizontal="center" vertical="center" wrapText="1"/>
      <protection locked="0"/>
    </xf>
    <xf numFmtId="0" fontId="40" fillId="4" borderId="7" xfId="0" applyFont="1" applyFill="1" applyBorder="1" applyAlignment="1" applyProtection="1">
      <alignment horizontal="center" vertical="center" wrapText="1"/>
      <protection locked="0"/>
    </xf>
    <xf numFmtId="164" fontId="35" fillId="0" borderId="0" xfId="0" applyNumberFormat="1" applyFont="1" applyBorder="1" applyAlignment="1" applyProtection="1">
      <alignment horizontal="center" vertical="center"/>
    </xf>
    <xf numFmtId="0" fontId="44" fillId="0" borderId="3" xfId="0" applyFont="1" applyBorder="1" applyAlignment="1" applyProtection="1">
      <alignment horizontal="center" vertical="center" wrapText="1"/>
    </xf>
    <xf numFmtId="0" fontId="45" fillId="0" borderId="3" xfId="0" applyFont="1" applyBorder="1" applyAlignment="1" applyProtection="1">
      <alignment horizontal="center" vertical="center" wrapText="1"/>
    </xf>
    <xf numFmtId="0" fontId="35" fillId="0" borderId="9" xfId="0" applyFont="1" applyBorder="1" applyAlignment="1" applyProtection="1">
      <alignment horizontal="center" vertical="center" wrapText="1"/>
    </xf>
    <xf numFmtId="0" fontId="35" fillId="0" borderId="10" xfId="0" applyFont="1" applyBorder="1" applyAlignment="1" applyProtection="1">
      <alignment horizontal="center" vertical="center" wrapText="1"/>
    </xf>
    <xf numFmtId="9" fontId="36" fillId="0" borderId="5" xfId="0" applyNumberFormat="1" applyFont="1" applyBorder="1" applyAlignment="1" applyProtection="1">
      <alignment horizontal="center" vertical="center"/>
    </xf>
    <xf numFmtId="9" fontId="36" fillId="0" borderId="4" xfId="0" applyNumberFormat="1" applyFont="1" applyBorder="1" applyAlignment="1" applyProtection="1">
      <alignment horizontal="center" vertical="center"/>
    </xf>
    <xf numFmtId="0" fontId="35" fillId="0" borderId="7" xfId="0" applyFont="1" applyBorder="1" applyAlignment="1" applyProtection="1">
      <alignment horizontal="center" vertical="center" wrapText="1"/>
    </xf>
    <xf numFmtId="0" fontId="38" fillId="0" borderId="9" xfId="0" applyFont="1" applyBorder="1" applyAlignment="1" applyProtection="1">
      <alignment horizontal="right" vertical="center" wrapText="1"/>
    </xf>
    <xf numFmtId="0" fontId="38" fillId="0" borderId="10" xfId="0" applyFont="1" applyBorder="1" applyAlignment="1" applyProtection="1">
      <alignment horizontal="right" vertical="center" wrapText="1"/>
    </xf>
    <xf numFmtId="9" fontId="36" fillId="0" borderId="10" xfId="0" applyNumberFormat="1" applyFont="1" applyBorder="1" applyAlignment="1" applyProtection="1">
      <alignment horizontal="center" vertical="center"/>
    </xf>
    <xf numFmtId="9" fontId="36" fillId="0" borderId="7" xfId="0" applyNumberFormat="1" applyFont="1" applyBorder="1" applyAlignment="1" applyProtection="1">
      <alignment horizontal="center" vertical="center"/>
    </xf>
    <xf numFmtId="1" fontId="35" fillId="0" borderId="0" xfId="0" applyNumberFormat="1" applyFont="1" applyAlignment="1" applyProtection="1">
      <alignment horizontal="center"/>
    </xf>
    <xf numFmtId="0" fontId="35" fillId="0" borderId="0" xfId="2" applyFont="1" applyBorder="1" applyAlignment="1" applyProtection="1">
      <alignment horizontal="center" vertical="center"/>
      <protection locked="0"/>
    </xf>
    <xf numFmtId="164" fontId="35" fillId="0" borderId="0" xfId="2" applyNumberFormat="1" applyFont="1" applyBorder="1" applyAlignment="1" applyProtection="1">
      <alignment horizontal="center" vertical="center"/>
    </xf>
    <xf numFmtId="0" fontId="45" fillId="0" borderId="0" xfId="2" applyFont="1"/>
    <xf numFmtId="0" fontId="45" fillId="0" borderId="3" xfId="0" applyFont="1" applyBorder="1" applyAlignment="1" applyProtection="1">
      <alignment horizontal="center" vertical="top" wrapText="1"/>
    </xf>
    <xf numFmtId="0" fontId="45" fillId="0" borderId="3" xfId="0" applyFont="1" applyBorder="1" applyAlignment="1" applyProtection="1">
      <alignment horizontal="center" vertical="top" wrapText="1"/>
    </xf>
    <xf numFmtId="0" fontId="42" fillId="0" borderId="10" xfId="0" applyFont="1" applyBorder="1" applyAlignment="1" applyProtection="1">
      <alignment horizontal="right" vertical="center" wrapText="1"/>
    </xf>
    <xf numFmtId="0" fontId="42" fillId="0" borderId="7" xfId="0" applyFont="1" applyBorder="1" applyAlignment="1" applyProtection="1">
      <alignment horizontal="right" vertical="center" wrapText="1"/>
    </xf>
    <xf numFmtId="0" fontId="35" fillId="0" borderId="15" xfId="0" applyFont="1" applyBorder="1" applyAlignment="1" applyProtection="1">
      <alignment horizontal="center" vertical="center" wrapText="1"/>
    </xf>
    <xf numFmtId="0" fontId="38" fillId="0" borderId="15" xfId="0" applyFont="1" applyBorder="1" applyAlignment="1" applyProtection="1">
      <alignment horizontal="right" vertical="center" wrapText="1"/>
    </xf>
    <xf numFmtId="0" fontId="35" fillId="0" borderId="3" xfId="2" applyFont="1" applyBorder="1" applyAlignment="1" applyProtection="1">
      <alignment horizontal="right" vertical="center" wrapText="1"/>
    </xf>
    <xf numFmtId="9" fontId="36" fillId="0" borderId="9" xfId="0" applyNumberFormat="1" applyFont="1" applyBorder="1" applyAlignment="1" applyProtection="1">
      <alignment horizontal="center" vertical="center"/>
    </xf>
    <xf numFmtId="0" fontId="35" fillId="0" borderId="3" xfId="0" applyFont="1" applyBorder="1" applyAlignment="1" applyProtection="1">
      <alignment vertical="top" wrapText="1"/>
    </xf>
  </cellXfs>
  <cellStyles count="4">
    <cellStyle name="Comma" xfId="1" builtinId="3"/>
    <cellStyle name="Comma 2" xfId="3"/>
    <cellStyle name="Normal" xfId="0" builtinId="0"/>
    <cellStyle name="Normal 2" xfId="2"/>
  </cellStyles>
  <dxfs count="238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26"/>
        </patternFill>
      </fill>
    </dxf>
    <dxf>
      <font>
        <b/>
        <i val="0"/>
        <condense val="0"/>
        <extend val="0"/>
        <color indexed="10"/>
      </font>
      <fill>
        <patternFill>
          <bgColor indexed="26"/>
        </patternFill>
      </fill>
    </dxf>
    <dxf>
      <font>
        <b/>
        <i val="0"/>
        <condense val="0"/>
        <extend val="0"/>
        <color indexed="10"/>
      </font>
      <fill>
        <patternFill>
          <bgColor indexed="26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57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auto="1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</dxfs>
  <tableStyles count="0" defaultTableStyle="TableStyleMedium9" defaultPivotStyle="PivotStyleLight16"/>
  <colors>
    <mruColors>
      <color rgb="FF97F088"/>
      <color rgb="FFEDF2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ata\2015-2016\Math\Grade%202\Schultz%20Math%20Data%20Grade%202%202015-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Unit 1"/>
      <sheetName val="Unit 2"/>
      <sheetName val="Unit 3"/>
      <sheetName val="Unit 4"/>
      <sheetName val="Unit 5"/>
      <sheetName val="Unit 6"/>
      <sheetName val="Unit 7"/>
      <sheetName val="Unit 8"/>
      <sheetName val="Unit 9"/>
      <sheetName val="Summary"/>
      <sheetName val="Announcements"/>
      <sheetName val="Letters_Home"/>
      <sheetName val="Snapshot"/>
    </sheetNames>
    <sheetDataSet>
      <sheetData sheetId="0">
        <row r="3">
          <cell r="B3" t="str">
            <v>Morgan Alston</v>
          </cell>
        </row>
        <row r="4">
          <cell r="B4" t="str">
            <v>Daniel Bailey</v>
          </cell>
        </row>
        <row r="5">
          <cell r="B5" t="str">
            <v>Payton Boschulte</v>
          </cell>
        </row>
        <row r="6">
          <cell r="B6" t="str">
            <v>Pier Gee</v>
          </cell>
        </row>
        <row r="7">
          <cell r="B7" t="str">
            <v>Kyren Hammond</v>
          </cell>
        </row>
        <row r="8">
          <cell r="B8" t="str">
            <v>Kayden Haynes</v>
          </cell>
        </row>
        <row r="9">
          <cell r="B9" t="str">
            <v>Coryn Hopkins</v>
          </cell>
        </row>
        <row r="10">
          <cell r="B10" t="str">
            <v>Mary Ikegwu</v>
          </cell>
        </row>
        <row r="11">
          <cell r="B11" t="str">
            <v>Marc Johnson</v>
          </cell>
        </row>
        <row r="12">
          <cell r="B12" t="str">
            <v>Chimeze Madu</v>
          </cell>
        </row>
        <row r="13">
          <cell r="B13" t="str">
            <v>Roxana Rodriguez</v>
          </cell>
        </row>
        <row r="14">
          <cell r="B14" t="str">
            <v>Jazlene Pride</v>
          </cell>
        </row>
        <row r="15">
          <cell r="B15" t="str">
            <v>Kennedy Rencher</v>
          </cell>
        </row>
        <row r="16">
          <cell r="B16" t="str">
            <v>Kennedy Rucker</v>
          </cell>
        </row>
        <row r="17">
          <cell r="B17" t="str">
            <v>Katie Rwomushana</v>
          </cell>
        </row>
        <row r="18">
          <cell r="B18" t="str">
            <v>Myonna Tribble</v>
          </cell>
        </row>
        <row r="19">
          <cell r="B19" t="str">
            <v>Jordain Waterhouse</v>
          </cell>
        </row>
        <row r="20">
          <cell r="B20" t="str">
            <v>Mekhi Williams</v>
          </cell>
        </row>
      </sheetData>
      <sheetData sheetId="1">
        <row r="6">
          <cell r="V6" t="str">
            <v/>
          </cell>
        </row>
        <row r="7">
          <cell r="V7" t="str">
            <v/>
          </cell>
        </row>
        <row r="8">
          <cell r="V8" t="str">
            <v/>
          </cell>
        </row>
        <row r="9">
          <cell r="V9" t="str">
            <v/>
          </cell>
        </row>
        <row r="10">
          <cell r="V10" t="str">
            <v/>
          </cell>
        </row>
        <row r="11">
          <cell r="V11" t="str">
            <v/>
          </cell>
        </row>
        <row r="12">
          <cell r="V12" t="str">
            <v/>
          </cell>
        </row>
        <row r="13">
          <cell r="V13" t="str">
            <v/>
          </cell>
        </row>
        <row r="14">
          <cell r="V14" t="str">
            <v/>
          </cell>
        </row>
        <row r="15">
          <cell r="V15" t="str">
            <v/>
          </cell>
        </row>
        <row r="16">
          <cell r="V16" t="str">
            <v/>
          </cell>
        </row>
        <row r="17">
          <cell r="V17" t="str">
            <v/>
          </cell>
        </row>
        <row r="18">
          <cell r="V18" t="str">
            <v/>
          </cell>
        </row>
        <row r="19">
          <cell r="V19" t="str">
            <v/>
          </cell>
        </row>
        <row r="20">
          <cell r="V20" t="str">
            <v/>
          </cell>
        </row>
        <row r="21">
          <cell r="V21" t="str">
            <v/>
          </cell>
        </row>
        <row r="22">
          <cell r="V22" t="str">
            <v/>
          </cell>
        </row>
        <row r="23">
          <cell r="V23" t="str">
            <v/>
          </cell>
        </row>
        <row r="24">
          <cell r="V24" t="str">
            <v/>
          </cell>
        </row>
        <row r="25">
          <cell r="V25" t="str">
            <v/>
          </cell>
        </row>
        <row r="26">
          <cell r="V26" t="str">
            <v/>
          </cell>
        </row>
        <row r="27">
          <cell r="V27" t="str">
            <v/>
          </cell>
        </row>
        <row r="28">
          <cell r="V28" t="str">
            <v/>
          </cell>
        </row>
        <row r="29">
          <cell r="V29" t="str">
            <v/>
          </cell>
        </row>
        <row r="30">
          <cell r="V30" t="str">
            <v/>
          </cell>
        </row>
        <row r="31">
          <cell r="V31" t="str">
            <v/>
          </cell>
        </row>
        <row r="32">
          <cell r="V32" t="str">
            <v/>
          </cell>
        </row>
        <row r="33">
          <cell r="V33" t="str">
            <v/>
          </cell>
        </row>
        <row r="34">
          <cell r="V34" t="str">
            <v/>
          </cell>
        </row>
        <row r="35">
          <cell r="V35" t="str">
            <v/>
          </cell>
        </row>
        <row r="36">
          <cell r="V36" t="str">
            <v/>
          </cell>
        </row>
        <row r="37">
          <cell r="V37" t="str">
            <v/>
          </cell>
        </row>
        <row r="38">
          <cell r="V38" t="str">
            <v/>
          </cell>
        </row>
        <row r="39">
          <cell r="V39" t="str">
            <v/>
          </cell>
        </row>
        <row r="40">
          <cell r="V40" t="str">
            <v/>
          </cell>
        </row>
        <row r="41">
          <cell r="V41" t="str">
            <v/>
          </cell>
        </row>
        <row r="42">
          <cell r="V42" t="str">
            <v/>
          </cell>
        </row>
        <row r="43">
          <cell r="V43" t="str">
            <v/>
          </cell>
        </row>
        <row r="44">
          <cell r="V44" t="str">
            <v/>
          </cell>
        </row>
        <row r="45">
          <cell r="V45" t="str">
            <v/>
          </cell>
        </row>
        <row r="46">
          <cell r="V46" t="str">
            <v/>
          </cell>
        </row>
        <row r="47">
          <cell r="V47" t="str">
            <v/>
          </cell>
        </row>
        <row r="48">
          <cell r="V48" t="str">
            <v/>
          </cell>
        </row>
        <row r="49">
          <cell r="V49" t="str">
            <v/>
          </cell>
        </row>
        <row r="50">
          <cell r="V50" t="str">
            <v/>
          </cell>
        </row>
        <row r="51">
          <cell r="V51" t="str">
            <v/>
          </cell>
        </row>
      </sheetData>
      <sheetData sheetId="2">
        <row r="6">
          <cell r="O6" t="str">
            <v/>
          </cell>
        </row>
        <row r="7">
          <cell r="O7" t="str">
            <v/>
          </cell>
        </row>
        <row r="8">
          <cell r="O8" t="str">
            <v/>
          </cell>
        </row>
        <row r="9">
          <cell r="O9" t="str">
            <v/>
          </cell>
        </row>
        <row r="10">
          <cell r="O10" t="str">
            <v/>
          </cell>
        </row>
        <row r="11">
          <cell r="O11" t="str">
            <v/>
          </cell>
        </row>
        <row r="12">
          <cell r="O12" t="str">
            <v/>
          </cell>
        </row>
        <row r="13">
          <cell r="O13" t="str">
            <v/>
          </cell>
        </row>
        <row r="14">
          <cell r="O14" t="str">
            <v/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  <row r="26">
          <cell r="O26" t="str">
            <v/>
          </cell>
        </row>
        <row r="27">
          <cell r="O27" t="str">
            <v/>
          </cell>
        </row>
        <row r="28">
          <cell r="O28" t="str">
            <v/>
          </cell>
        </row>
        <row r="29">
          <cell r="O29" t="str">
            <v/>
          </cell>
        </row>
        <row r="30">
          <cell r="O30" t="str">
            <v/>
          </cell>
        </row>
        <row r="31">
          <cell r="O31" t="str">
            <v/>
          </cell>
        </row>
        <row r="32">
          <cell r="O32" t="str">
            <v/>
          </cell>
        </row>
        <row r="33">
          <cell r="O33" t="str">
            <v/>
          </cell>
        </row>
        <row r="34">
          <cell r="O34" t="str">
            <v/>
          </cell>
        </row>
        <row r="35">
          <cell r="O35" t="str">
            <v/>
          </cell>
        </row>
        <row r="36">
          <cell r="O36" t="str">
            <v/>
          </cell>
        </row>
        <row r="37">
          <cell r="O37" t="str">
            <v/>
          </cell>
        </row>
        <row r="38">
          <cell r="O38" t="str">
            <v/>
          </cell>
        </row>
        <row r="39">
          <cell r="O39" t="str">
            <v/>
          </cell>
        </row>
        <row r="40">
          <cell r="O40" t="str">
            <v/>
          </cell>
        </row>
        <row r="41">
          <cell r="O41" t="str">
            <v/>
          </cell>
        </row>
        <row r="42">
          <cell r="O42" t="str">
            <v/>
          </cell>
        </row>
        <row r="43">
          <cell r="O43" t="str">
            <v/>
          </cell>
        </row>
        <row r="44">
          <cell r="O44" t="str">
            <v/>
          </cell>
        </row>
        <row r="45">
          <cell r="O45" t="str">
            <v/>
          </cell>
        </row>
        <row r="46">
          <cell r="O46" t="str">
            <v/>
          </cell>
        </row>
        <row r="47">
          <cell r="O47" t="str">
            <v/>
          </cell>
        </row>
        <row r="48">
          <cell r="O48" t="str">
            <v/>
          </cell>
        </row>
        <row r="49">
          <cell r="O49" t="str">
            <v/>
          </cell>
        </row>
        <row r="50">
          <cell r="O50" t="str">
            <v/>
          </cell>
        </row>
        <row r="51">
          <cell r="O51" t="str">
            <v/>
          </cell>
        </row>
      </sheetData>
      <sheetData sheetId="3"/>
      <sheetData sheetId="4"/>
      <sheetData sheetId="5">
        <row r="6">
          <cell r="M6" t="str">
            <v/>
          </cell>
        </row>
        <row r="7">
          <cell r="M7" t="str">
            <v/>
          </cell>
        </row>
        <row r="8">
          <cell r="M8" t="str">
            <v/>
          </cell>
        </row>
        <row r="9">
          <cell r="M9" t="str">
            <v/>
          </cell>
        </row>
        <row r="10">
          <cell r="M10" t="str">
            <v/>
          </cell>
        </row>
        <row r="11">
          <cell r="M11" t="str">
            <v/>
          </cell>
        </row>
        <row r="12">
          <cell r="M12" t="str">
            <v/>
          </cell>
        </row>
        <row r="13">
          <cell r="M13" t="str">
            <v/>
          </cell>
        </row>
        <row r="14">
          <cell r="M14" t="str">
            <v/>
          </cell>
        </row>
        <row r="15">
          <cell r="M15" t="str">
            <v/>
          </cell>
        </row>
        <row r="16">
          <cell r="M16" t="str">
            <v/>
          </cell>
        </row>
        <row r="17">
          <cell r="M17" t="str">
            <v/>
          </cell>
        </row>
        <row r="18">
          <cell r="M18" t="str">
            <v/>
          </cell>
        </row>
        <row r="19">
          <cell r="M19" t="str">
            <v/>
          </cell>
        </row>
        <row r="20">
          <cell r="M20" t="str">
            <v/>
          </cell>
        </row>
        <row r="21">
          <cell r="M21" t="str">
            <v/>
          </cell>
        </row>
        <row r="22">
          <cell r="M22" t="str">
            <v/>
          </cell>
        </row>
        <row r="23">
          <cell r="M23" t="str">
            <v/>
          </cell>
        </row>
        <row r="24">
          <cell r="M24" t="str">
            <v/>
          </cell>
        </row>
        <row r="25">
          <cell r="M25" t="str">
            <v/>
          </cell>
        </row>
        <row r="26">
          <cell r="M26" t="str">
            <v/>
          </cell>
        </row>
        <row r="27">
          <cell r="M27" t="str">
            <v/>
          </cell>
        </row>
        <row r="28">
          <cell r="M28" t="str">
            <v/>
          </cell>
        </row>
        <row r="29">
          <cell r="M29" t="str">
            <v/>
          </cell>
        </row>
        <row r="30">
          <cell r="M30" t="str">
            <v/>
          </cell>
        </row>
        <row r="31">
          <cell r="M31" t="str">
            <v/>
          </cell>
        </row>
        <row r="32">
          <cell r="M32" t="str">
            <v/>
          </cell>
        </row>
        <row r="33">
          <cell r="M33" t="str">
            <v/>
          </cell>
        </row>
        <row r="34">
          <cell r="M34" t="str">
            <v/>
          </cell>
        </row>
        <row r="35">
          <cell r="M35" t="str">
            <v/>
          </cell>
        </row>
        <row r="36">
          <cell r="M36" t="str">
            <v/>
          </cell>
        </row>
        <row r="37">
          <cell r="M37" t="str">
            <v/>
          </cell>
        </row>
        <row r="38">
          <cell r="M38" t="str">
            <v/>
          </cell>
        </row>
        <row r="39">
          <cell r="M39" t="str">
            <v/>
          </cell>
        </row>
        <row r="40">
          <cell r="M40" t="str">
            <v/>
          </cell>
        </row>
        <row r="41">
          <cell r="M41" t="str">
            <v/>
          </cell>
        </row>
        <row r="42">
          <cell r="M42" t="str">
            <v/>
          </cell>
        </row>
        <row r="43">
          <cell r="M43" t="str">
            <v/>
          </cell>
        </row>
        <row r="44">
          <cell r="M44" t="str">
            <v/>
          </cell>
        </row>
        <row r="45">
          <cell r="M45" t="str">
            <v/>
          </cell>
        </row>
        <row r="46">
          <cell r="M46" t="str">
            <v/>
          </cell>
        </row>
        <row r="47">
          <cell r="M47" t="str">
            <v/>
          </cell>
        </row>
        <row r="48">
          <cell r="M48" t="str">
            <v/>
          </cell>
        </row>
        <row r="49">
          <cell r="M49" t="str">
            <v/>
          </cell>
        </row>
        <row r="50">
          <cell r="M50" t="str">
            <v/>
          </cell>
        </row>
        <row r="51">
          <cell r="M51" t="str">
            <v/>
          </cell>
        </row>
      </sheetData>
      <sheetData sheetId="6">
        <row r="6">
          <cell r="AE6" t="str">
            <v/>
          </cell>
        </row>
        <row r="7">
          <cell r="AE7" t="str">
            <v/>
          </cell>
        </row>
        <row r="8">
          <cell r="AE8" t="str">
            <v/>
          </cell>
        </row>
        <row r="9">
          <cell r="AE9" t="str">
            <v/>
          </cell>
        </row>
        <row r="10">
          <cell r="AE10" t="str">
            <v/>
          </cell>
        </row>
        <row r="11">
          <cell r="AE11" t="str">
            <v/>
          </cell>
        </row>
        <row r="12">
          <cell r="AE12" t="str">
            <v/>
          </cell>
        </row>
        <row r="13">
          <cell r="AE13" t="str">
            <v/>
          </cell>
        </row>
        <row r="14">
          <cell r="AE14" t="str">
            <v/>
          </cell>
        </row>
        <row r="15">
          <cell r="AE15" t="str">
            <v/>
          </cell>
        </row>
        <row r="16">
          <cell r="AE16" t="str">
            <v/>
          </cell>
        </row>
        <row r="17">
          <cell r="AE17" t="str">
            <v/>
          </cell>
        </row>
        <row r="18">
          <cell r="AE18" t="str">
            <v/>
          </cell>
        </row>
        <row r="19">
          <cell r="AE19" t="str">
            <v/>
          </cell>
        </row>
        <row r="20">
          <cell r="AE20" t="str">
            <v/>
          </cell>
        </row>
        <row r="21">
          <cell r="AE21" t="str">
            <v/>
          </cell>
        </row>
        <row r="22">
          <cell r="AE22" t="str">
            <v/>
          </cell>
        </row>
        <row r="23">
          <cell r="AE23" t="str">
            <v/>
          </cell>
        </row>
        <row r="24">
          <cell r="AE24" t="str">
            <v/>
          </cell>
        </row>
        <row r="25">
          <cell r="AE25" t="str">
            <v/>
          </cell>
        </row>
        <row r="26">
          <cell r="AE26" t="str">
            <v/>
          </cell>
        </row>
        <row r="27">
          <cell r="AE27" t="str">
            <v/>
          </cell>
        </row>
        <row r="28">
          <cell r="AE28" t="str">
            <v/>
          </cell>
        </row>
        <row r="29">
          <cell r="AE29" t="str">
            <v/>
          </cell>
        </row>
        <row r="30">
          <cell r="AE30" t="str">
            <v/>
          </cell>
        </row>
        <row r="31">
          <cell r="AE31" t="str">
            <v/>
          </cell>
        </row>
        <row r="32">
          <cell r="AE32" t="str">
            <v/>
          </cell>
        </row>
        <row r="33">
          <cell r="AE33" t="str">
            <v/>
          </cell>
        </row>
        <row r="34">
          <cell r="AE34" t="str">
            <v/>
          </cell>
        </row>
        <row r="35">
          <cell r="AE35" t="str">
            <v/>
          </cell>
        </row>
        <row r="36">
          <cell r="AE36" t="str">
            <v/>
          </cell>
        </row>
        <row r="37">
          <cell r="AE37" t="str">
            <v/>
          </cell>
        </row>
        <row r="38">
          <cell r="AE38" t="str">
            <v/>
          </cell>
        </row>
        <row r="39">
          <cell r="AE39" t="str">
            <v/>
          </cell>
        </row>
        <row r="40">
          <cell r="AE40" t="str">
            <v/>
          </cell>
        </row>
        <row r="41">
          <cell r="AE41" t="str">
            <v/>
          </cell>
        </row>
        <row r="42">
          <cell r="AE42" t="str">
            <v/>
          </cell>
        </row>
        <row r="43">
          <cell r="AE43" t="str">
            <v/>
          </cell>
        </row>
        <row r="44">
          <cell r="AE44" t="str">
            <v/>
          </cell>
        </row>
        <row r="45">
          <cell r="AE45" t="str">
            <v/>
          </cell>
        </row>
        <row r="46">
          <cell r="AE46" t="str">
            <v/>
          </cell>
        </row>
        <row r="47">
          <cell r="AE47" t="str">
            <v/>
          </cell>
        </row>
        <row r="48">
          <cell r="AE48" t="str">
            <v/>
          </cell>
        </row>
        <row r="49">
          <cell r="AE49" t="str">
            <v/>
          </cell>
        </row>
        <row r="50">
          <cell r="AE50" t="str">
            <v/>
          </cell>
        </row>
        <row r="51">
          <cell r="AE51" t="str">
            <v/>
          </cell>
        </row>
      </sheetData>
      <sheetData sheetId="7">
        <row r="6">
          <cell r="K6" t="str">
            <v/>
          </cell>
        </row>
        <row r="7">
          <cell r="K7" t="str">
            <v/>
          </cell>
        </row>
        <row r="8">
          <cell r="K8" t="str">
            <v/>
          </cell>
        </row>
        <row r="9">
          <cell r="K9" t="str">
            <v/>
          </cell>
        </row>
        <row r="10">
          <cell r="K10" t="str">
            <v/>
          </cell>
        </row>
        <row r="11">
          <cell r="K11" t="str">
            <v/>
          </cell>
        </row>
        <row r="12">
          <cell r="K12" t="str">
            <v/>
          </cell>
        </row>
        <row r="13">
          <cell r="K13" t="str">
            <v/>
          </cell>
        </row>
        <row r="14">
          <cell r="K14" t="str">
            <v/>
          </cell>
        </row>
        <row r="15">
          <cell r="K15" t="str">
            <v/>
          </cell>
        </row>
        <row r="16">
          <cell r="K16" t="str">
            <v/>
          </cell>
        </row>
        <row r="17">
          <cell r="K17" t="str">
            <v/>
          </cell>
        </row>
        <row r="18">
          <cell r="K18" t="str">
            <v/>
          </cell>
        </row>
        <row r="19">
          <cell r="K19" t="str">
            <v/>
          </cell>
        </row>
        <row r="20">
          <cell r="K20" t="str">
            <v/>
          </cell>
        </row>
        <row r="21">
          <cell r="K21" t="str">
            <v/>
          </cell>
        </row>
        <row r="22">
          <cell r="K22" t="str">
            <v/>
          </cell>
        </row>
        <row r="23">
          <cell r="K23" t="str">
            <v/>
          </cell>
        </row>
        <row r="24">
          <cell r="K24" t="str">
            <v/>
          </cell>
        </row>
        <row r="25">
          <cell r="K25" t="str">
            <v/>
          </cell>
        </row>
        <row r="26">
          <cell r="K26" t="str">
            <v/>
          </cell>
        </row>
        <row r="27">
          <cell r="K27" t="str">
            <v/>
          </cell>
        </row>
        <row r="28">
          <cell r="K28" t="str">
            <v/>
          </cell>
        </row>
        <row r="29">
          <cell r="K29" t="str">
            <v/>
          </cell>
        </row>
        <row r="30">
          <cell r="K30" t="str">
            <v/>
          </cell>
        </row>
        <row r="31">
          <cell r="K31" t="str">
            <v/>
          </cell>
        </row>
        <row r="32">
          <cell r="K32" t="str">
            <v/>
          </cell>
        </row>
        <row r="33">
          <cell r="K33" t="str">
            <v/>
          </cell>
        </row>
        <row r="34">
          <cell r="K34" t="str">
            <v/>
          </cell>
        </row>
        <row r="35">
          <cell r="K35" t="str">
            <v/>
          </cell>
        </row>
        <row r="36">
          <cell r="K36" t="str">
            <v/>
          </cell>
        </row>
        <row r="37">
          <cell r="K37" t="str">
            <v/>
          </cell>
        </row>
        <row r="38">
          <cell r="K38" t="str">
            <v/>
          </cell>
        </row>
        <row r="39">
          <cell r="K39" t="str">
            <v/>
          </cell>
        </row>
        <row r="40">
          <cell r="K40" t="str">
            <v/>
          </cell>
        </row>
        <row r="41">
          <cell r="K41" t="str">
            <v/>
          </cell>
        </row>
        <row r="42">
          <cell r="K42" t="str">
            <v/>
          </cell>
        </row>
        <row r="43">
          <cell r="K43" t="str">
            <v/>
          </cell>
        </row>
        <row r="44">
          <cell r="K44" t="str">
            <v/>
          </cell>
        </row>
        <row r="45">
          <cell r="K45" t="str">
            <v/>
          </cell>
        </row>
        <row r="46">
          <cell r="K46" t="str">
            <v/>
          </cell>
        </row>
        <row r="47">
          <cell r="K47" t="str">
            <v/>
          </cell>
        </row>
        <row r="48">
          <cell r="K48" t="str">
            <v/>
          </cell>
        </row>
        <row r="49">
          <cell r="K49" t="str">
            <v/>
          </cell>
        </row>
        <row r="50">
          <cell r="K50" t="str">
            <v/>
          </cell>
        </row>
        <row r="51">
          <cell r="K51" t="str">
            <v/>
          </cell>
        </row>
      </sheetData>
      <sheetData sheetId="8">
        <row r="6">
          <cell r="Q6" t="str">
            <v/>
          </cell>
        </row>
        <row r="7">
          <cell r="Q7" t="str">
            <v/>
          </cell>
        </row>
        <row r="8">
          <cell r="Q8" t="str">
            <v/>
          </cell>
        </row>
        <row r="9">
          <cell r="Q9" t="str">
            <v/>
          </cell>
        </row>
        <row r="10">
          <cell r="Q10" t="str">
            <v/>
          </cell>
        </row>
        <row r="11">
          <cell r="Q11" t="str">
            <v/>
          </cell>
        </row>
        <row r="12">
          <cell r="Q12" t="str">
            <v/>
          </cell>
        </row>
        <row r="13">
          <cell r="Q13" t="str">
            <v/>
          </cell>
        </row>
        <row r="14">
          <cell r="Q14" t="str">
            <v/>
          </cell>
        </row>
        <row r="15">
          <cell r="Q15" t="str">
            <v/>
          </cell>
        </row>
        <row r="16">
          <cell r="Q16" t="str">
            <v/>
          </cell>
        </row>
        <row r="17">
          <cell r="Q17" t="str">
            <v/>
          </cell>
        </row>
        <row r="18">
          <cell r="Q18" t="str">
            <v/>
          </cell>
        </row>
        <row r="19">
          <cell r="Q19" t="str">
            <v/>
          </cell>
        </row>
        <row r="20">
          <cell r="Q20" t="str">
            <v/>
          </cell>
        </row>
        <row r="21">
          <cell r="Q21" t="str">
            <v/>
          </cell>
        </row>
        <row r="22">
          <cell r="Q22" t="str">
            <v/>
          </cell>
        </row>
        <row r="23">
          <cell r="Q23" t="str">
            <v/>
          </cell>
        </row>
        <row r="24">
          <cell r="Q24" t="str">
            <v/>
          </cell>
        </row>
        <row r="25">
          <cell r="Q25" t="str">
            <v/>
          </cell>
        </row>
        <row r="26">
          <cell r="Q26" t="str">
            <v/>
          </cell>
        </row>
        <row r="27">
          <cell r="Q27" t="str">
            <v/>
          </cell>
        </row>
        <row r="28">
          <cell r="Q28" t="str">
            <v/>
          </cell>
        </row>
        <row r="29">
          <cell r="Q29" t="str">
            <v/>
          </cell>
        </row>
        <row r="30">
          <cell r="Q30" t="str">
            <v/>
          </cell>
        </row>
        <row r="31">
          <cell r="Q31" t="str">
            <v/>
          </cell>
        </row>
        <row r="32">
          <cell r="Q32" t="str">
            <v/>
          </cell>
        </row>
        <row r="33">
          <cell r="Q33" t="str">
            <v/>
          </cell>
        </row>
        <row r="34">
          <cell r="Q34" t="str">
            <v/>
          </cell>
        </row>
        <row r="35">
          <cell r="Q35" t="str">
            <v/>
          </cell>
        </row>
        <row r="36">
          <cell r="Q36" t="str">
            <v/>
          </cell>
        </row>
        <row r="37">
          <cell r="Q37" t="str">
            <v/>
          </cell>
        </row>
        <row r="38">
          <cell r="Q38" t="str">
            <v/>
          </cell>
        </row>
        <row r="39">
          <cell r="Q39" t="str">
            <v/>
          </cell>
        </row>
        <row r="40">
          <cell r="Q40" t="str">
            <v/>
          </cell>
        </row>
        <row r="41">
          <cell r="Q41" t="str">
            <v/>
          </cell>
        </row>
        <row r="42">
          <cell r="Q42" t="str">
            <v/>
          </cell>
        </row>
        <row r="43">
          <cell r="Q43" t="str">
            <v/>
          </cell>
        </row>
        <row r="44">
          <cell r="Q44" t="str">
            <v/>
          </cell>
        </row>
        <row r="45">
          <cell r="Q45" t="str">
            <v/>
          </cell>
        </row>
        <row r="46">
          <cell r="Q46" t="str">
            <v/>
          </cell>
        </row>
        <row r="47">
          <cell r="Q47" t="str">
            <v/>
          </cell>
        </row>
        <row r="48">
          <cell r="Q48" t="str">
            <v/>
          </cell>
        </row>
        <row r="49">
          <cell r="Q49" t="str">
            <v/>
          </cell>
        </row>
        <row r="50">
          <cell r="Q50" t="str">
            <v/>
          </cell>
        </row>
        <row r="51">
          <cell r="Q51" t="str">
            <v/>
          </cell>
        </row>
      </sheetData>
      <sheetData sheetId="9">
        <row r="6">
          <cell r="W6" t="str">
            <v/>
          </cell>
        </row>
        <row r="7">
          <cell r="W7" t="str">
            <v/>
          </cell>
        </row>
        <row r="8">
          <cell r="W8" t="str">
            <v/>
          </cell>
        </row>
        <row r="9">
          <cell r="W9" t="str">
            <v/>
          </cell>
        </row>
        <row r="10">
          <cell r="W10" t="str">
            <v/>
          </cell>
        </row>
        <row r="11">
          <cell r="W11" t="str">
            <v/>
          </cell>
        </row>
        <row r="12">
          <cell r="W12" t="str">
            <v/>
          </cell>
        </row>
        <row r="13">
          <cell r="W13" t="str">
            <v/>
          </cell>
        </row>
        <row r="14">
          <cell r="W14" t="str">
            <v/>
          </cell>
        </row>
        <row r="15">
          <cell r="W15" t="str">
            <v/>
          </cell>
        </row>
        <row r="16">
          <cell r="W16" t="str">
            <v/>
          </cell>
        </row>
        <row r="17">
          <cell r="W17" t="str">
            <v/>
          </cell>
        </row>
        <row r="18">
          <cell r="W18" t="str">
            <v/>
          </cell>
        </row>
        <row r="19">
          <cell r="W19" t="str">
            <v/>
          </cell>
        </row>
        <row r="20">
          <cell r="W20" t="str">
            <v/>
          </cell>
        </row>
        <row r="21">
          <cell r="W21" t="str">
            <v/>
          </cell>
        </row>
        <row r="22">
          <cell r="W22" t="str">
            <v/>
          </cell>
        </row>
        <row r="23">
          <cell r="W23" t="str">
            <v/>
          </cell>
        </row>
        <row r="24">
          <cell r="W24" t="str">
            <v/>
          </cell>
        </row>
        <row r="25">
          <cell r="W25" t="str">
            <v/>
          </cell>
        </row>
        <row r="26">
          <cell r="W26" t="str">
            <v/>
          </cell>
        </row>
        <row r="27">
          <cell r="W27" t="str">
            <v/>
          </cell>
        </row>
        <row r="28">
          <cell r="W28" t="str">
            <v/>
          </cell>
        </row>
        <row r="29">
          <cell r="W29" t="str">
            <v/>
          </cell>
        </row>
        <row r="30">
          <cell r="W30" t="str">
            <v/>
          </cell>
        </row>
        <row r="31">
          <cell r="W31" t="str">
            <v/>
          </cell>
        </row>
        <row r="32">
          <cell r="W32" t="str">
            <v/>
          </cell>
        </row>
        <row r="33">
          <cell r="W33" t="str">
            <v/>
          </cell>
        </row>
        <row r="34">
          <cell r="W34" t="str">
            <v/>
          </cell>
        </row>
        <row r="35">
          <cell r="W35" t="str">
            <v/>
          </cell>
        </row>
        <row r="36">
          <cell r="W36" t="str">
            <v/>
          </cell>
        </row>
        <row r="37">
          <cell r="W37" t="str">
            <v/>
          </cell>
        </row>
        <row r="38">
          <cell r="W38" t="str">
            <v/>
          </cell>
        </row>
        <row r="39">
          <cell r="W39" t="str">
            <v/>
          </cell>
        </row>
        <row r="40">
          <cell r="W40" t="str">
            <v/>
          </cell>
        </row>
        <row r="41">
          <cell r="W41" t="str">
            <v/>
          </cell>
        </row>
        <row r="42">
          <cell r="W42" t="str">
            <v/>
          </cell>
        </row>
        <row r="43">
          <cell r="W43" t="str">
            <v/>
          </cell>
        </row>
        <row r="44">
          <cell r="W44" t="str">
            <v/>
          </cell>
        </row>
        <row r="45">
          <cell r="W45" t="str">
            <v/>
          </cell>
        </row>
        <row r="46">
          <cell r="W46" t="str">
            <v/>
          </cell>
        </row>
        <row r="47">
          <cell r="W47" t="str">
            <v/>
          </cell>
        </row>
        <row r="48">
          <cell r="W48" t="str">
            <v/>
          </cell>
        </row>
        <row r="49">
          <cell r="W49" t="str">
            <v/>
          </cell>
        </row>
        <row r="50">
          <cell r="W50" t="str">
            <v/>
          </cell>
        </row>
        <row r="51">
          <cell r="W51" t="str">
            <v/>
          </cell>
        </row>
      </sheetData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38"/>
  <sheetViews>
    <sheetView zoomScaleNormal="100" workbookViewId="0">
      <selection activeCell="B1" sqref="B1"/>
    </sheetView>
  </sheetViews>
  <sheetFormatPr defaultColWidth="9.140625" defaultRowHeight="12.75" x14ac:dyDescent="0.2"/>
  <cols>
    <col min="1" max="1" width="67.140625" style="2" customWidth="1"/>
    <col min="2" max="2" width="24.140625" style="2" customWidth="1"/>
    <col min="3" max="3" width="17.28515625" style="2" bestFit="1" customWidth="1"/>
    <col min="4" max="16384" width="9.140625" style="2"/>
  </cols>
  <sheetData>
    <row r="1" spans="1:28" ht="21" thickBot="1" x14ac:dyDescent="0.25">
      <c r="A1" s="25" t="s">
        <v>33</v>
      </c>
      <c r="B1" s="20" t="s">
        <v>73</v>
      </c>
    </row>
    <row r="2" spans="1:28" ht="21" thickBot="1" x14ac:dyDescent="0.25">
      <c r="A2" s="25" t="s">
        <v>34</v>
      </c>
      <c r="B2" s="21" t="s">
        <v>72</v>
      </c>
      <c r="F2" s="3" t="s">
        <v>5</v>
      </c>
      <c r="H2" s="4" t="s">
        <v>5</v>
      </c>
      <c r="Q2" s="32"/>
      <c r="R2" s="32"/>
      <c r="S2" s="32"/>
      <c r="T2" s="32"/>
      <c r="V2" s="23"/>
      <c r="W2" s="23"/>
      <c r="AB2" s="23"/>
    </row>
    <row r="3" spans="1:28" ht="21" thickBot="1" x14ac:dyDescent="0.35">
      <c r="A3" s="26" t="s">
        <v>35</v>
      </c>
      <c r="B3" s="8" t="s">
        <v>104</v>
      </c>
      <c r="F3" s="4" t="s">
        <v>9</v>
      </c>
      <c r="H3" s="4" t="s">
        <v>9</v>
      </c>
    </row>
    <row r="4" spans="1:28" ht="18.75" customHeight="1" thickBot="1" x14ac:dyDescent="0.3">
      <c r="A4" s="5"/>
      <c r="B4" s="8" t="s">
        <v>105</v>
      </c>
      <c r="C4" s="22"/>
      <c r="E4" s="6"/>
      <c r="F4" s="4" t="s">
        <v>16</v>
      </c>
      <c r="H4" s="4" t="s">
        <v>16</v>
      </c>
    </row>
    <row r="5" spans="1:28" ht="16.5" thickBot="1" x14ac:dyDescent="0.3">
      <c r="B5" s="8" t="s">
        <v>106</v>
      </c>
      <c r="F5" s="4" t="s">
        <v>6</v>
      </c>
      <c r="H5" s="4" t="s">
        <v>6</v>
      </c>
    </row>
    <row r="6" spans="1:28" ht="16.5" thickBot="1" x14ac:dyDescent="0.3">
      <c r="B6" s="8" t="s">
        <v>107</v>
      </c>
      <c r="F6" s="4" t="s">
        <v>7</v>
      </c>
      <c r="H6" s="4" t="s">
        <v>7</v>
      </c>
    </row>
    <row r="7" spans="1:28" ht="16.5" thickBot="1" x14ac:dyDescent="0.3">
      <c r="A7" s="7"/>
      <c r="B7" s="8" t="s">
        <v>108</v>
      </c>
      <c r="F7" s="4" t="s">
        <v>8</v>
      </c>
      <c r="H7" s="4" t="s">
        <v>8</v>
      </c>
    </row>
    <row r="8" spans="1:28" ht="16.5" thickBot="1" x14ac:dyDescent="0.3">
      <c r="B8" s="8" t="s">
        <v>109</v>
      </c>
      <c r="F8" s="4" t="s">
        <v>11</v>
      </c>
      <c r="H8" s="4" t="s">
        <v>11</v>
      </c>
    </row>
    <row r="9" spans="1:28" ht="16.5" thickBot="1" x14ac:dyDescent="0.3">
      <c r="B9" s="8" t="s">
        <v>110</v>
      </c>
      <c r="F9" s="4" t="s">
        <v>10</v>
      </c>
      <c r="H9" s="4" t="s">
        <v>10</v>
      </c>
    </row>
    <row r="10" spans="1:28" ht="16.5" thickBot="1" x14ac:dyDescent="0.3">
      <c r="B10" s="8" t="s">
        <v>111</v>
      </c>
      <c r="F10" s="4" t="s">
        <v>12</v>
      </c>
      <c r="H10" s="4" t="s">
        <v>12</v>
      </c>
    </row>
    <row r="11" spans="1:28" ht="16.5" thickBot="1" x14ac:dyDescent="0.3">
      <c r="B11" s="8" t="s">
        <v>112</v>
      </c>
      <c r="F11" s="4" t="s">
        <v>13</v>
      </c>
      <c r="H11" s="4" t="s">
        <v>13</v>
      </c>
    </row>
    <row r="12" spans="1:28" ht="16.5" thickBot="1" x14ac:dyDescent="0.3">
      <c r="B12" s="8" t="s">
        <v>113</v>
      </c>
      <c r="F12" s="4" t="s">
        <v>15</v>
      </c>
      <c r="H12" s="4" t="s">
        <v>15</v>
      </c>
    </row>
    <row r="13" spans="1:28" ht="16.5" thickBot="1" x14ac:dyDescent="0.3">
      <c r="B13" s="8" t="s">
        <v>114</v>
      </c>
      <c r="F13" s="4" t="s">
        <v>14</v>
      </c>
      <c r="H13" s="4" t="s">
        <v>14</v>
      </c>
    </row>
    <row r="14" spans="1:28" ht="16.5" thickBot="1" x14ac:dyDescent="0.3">
      <c r="B14" s="8" t="s">
        <v>115</v>
      </c>
      <c r="F14" s="4"/>
    </row>
    <row r="15" spans="1:28" ht="16.5" thickBot="1" x14ac:dyDescent="0.3">
      <c r="B15" s="8" t="s">
        <v>121</v>
      </c>
    </row>
    <row r="16" spans="1:28" ht="16.5" thickBot="1" x14ac:dyDescent="0.3">
      <c r="B16" s="8" t="s">
        <v>116</v>
      </c>
    </row>
    <row r="17" spans="2:2" ht="16.5" thickBot="1" x14ac:dyDescent="0.3">
      <c r="B17" s="8" t="s">
        <v>117</v>
      </c>
    </row>
    <row r="18" spans="2:2" ht="16.5" thickBot="1" x14ac:dyDescent="0.3">
      <c r="B18" s="8" t="s">
        <v>118</v>
      </c>
    </row>
    <row r="19" spans="2:2" ht="16.5" thickBot="1" x14ac:dyDescent="0.3">
      <c r="B19" s="8" t="s">
        <v>119</v>
      </c>
    </row>
    <row r="20" spans="2:2" ht="16.5" thickBot="1" x14ac:dyDescent="0.3">
      <c r="B20" s="8" t="s">
        <v>120</v>
      </c>
    </row>
    <row r="21" spans="2:2" ht="16.5" thickBot="1" x14ac:dyDescent="0.3">
      <c r="B21" s="8"/>
    </row>
    <row r="22" spans="2:2" ht="16.5" thickBot="1" x14ac:dyDescent="0.3">
      <c r="B22" s="8"/>
    </row>
    <row r="23" spans="2:2" ht="16.5" thickBot="1" x14ac:dyDescent="0.3">
      <c r="B23" s="8"/>
    </row>
    <row r="24" spans="2:2" ht="16.5" thickBot="1" x14ac:dyDescent="0.3">
      <c r="B24" s="8"/>
    </row>
    <row r="25" spans="2:2" ht="16.5" thickBot="1" x14ac:dyDescent="0.3">
      <c r="B25" s="8"/>
    </row>
    <row r="26" spans="2:2" ht="16.5" thickBot="1" x14ac:dyDescent="0.3">
      <c r="B26" s="8"/>
    </row>
    <row r="27" spans="2:2" ht="16.5" thickBot="1" x14ac:dyDescent="0.3">
      <c r="B27" s="8"/>
    </row>
    <row r="28" spans="2:2" ht="16.5" thickBot="1" x14ac:dyDescent="0.3">
      <c r="B28" s="8"/>
    </row>
    <row r="29" spans="2:2" ht="16.5" thickBot="1" x14ac:dyDescent="0.3">
      <c r="B29" s="8"/>
    </row>
    <row r="30" spans="2:2" ht="16.5" thickBot="1" x14ac:dyDescent="0.3">
      <c r="B30" s="8"/>
    </row>
    <row r="31" spans="2:2" ht="16.5" thickBot="1" x14ac:dyDescent="0.3">
      <c r="B31" s="8"/>
    </row>
    <row r="32" spans="2:2" ht="16.5" thickBot="1" x14ac:dyDescent="0.3">
      <c r="B32" s="8"/>
    </row>
    <row r="33" spans="2:2" ht="16.5" thickBot="1" x14ac:dyDescent="0.3">
      <c r="B33" s="8"/>
    </row>
    <row r="34" spans="2:2" ht="16.5" thickBot="1" x14ac:dyDescent="0.3">
      <c r="B34" s="8"/>
    </row>
    <row r="35" spans="2:2" ht="16.5" thickBot="1" x14ac:dyDescent="0.3">
      <c r="B35" s="8"/>
    </row>
    <row r="36" spans="2:2" ht="16.5" thickBot="1" x14ac:dyDescent="0.3">
      <c r="B36" s="8"/>
    </row>
    <row r="37" spans="2:2" ht="16.5" thickBot="1" x14ac:dyDescent="0.3">
      <c r="B37" s="8"/>
    </row>
    <row r="38" spans="2:2" ht="16.5" thickBot="1" x14ac:dyDescent="0.25">
      <c r="B38" s="1"/>
    </row>
  </sheetData>
  <sheetProtection selectLockedCells="1"/>
  <phoneticPr fontId="1" type="noConversion"/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48"/>
  <sheetViews>
    <sheetView zoomScaleNormal="100" workbookViewId="0">
      <selection activeCell="B6" sqref="B6"/>
    </sheetView>
  </sheetViews>
  <sheetFormatPr defaultColWidth="9.140625" defaultRowHeight="15.75" x14ac:dyDescent="0.25"/>
  <cols>
    <col min="1" max="1" width="26.42578125" style="10" customWidth="1"/>
    <col min="2" max="2" width="7.28515625" style="10" customWidth="1"/>
    <col min="3" max="3" width="7.140625" style="10" customWidth="1"/>
    <col min="4" max="4" width="5.140625" style="10" customWidth="1"/>
    <col min="5" max="5" width="3.85546875" style="10" customWidth="1"/>
    <col min="6" max="6" width="4.7109375" style="10" customWidth="1"/>
    <col min="7" max="7" width="5.28515625" style="10" customWidth="1"/>
    <col min="8" max="8" width="4.42578125" style="10" customWidth="1"/>
    <col min="9" max="9" width="3.140625" style="10" customWidth="1"/>
    <col min="10" max="10" width="3.42578125" style="10" customWidth="1"/>
    <col min="11" max="11" width="4.140625" style="10" customWidth="1"/>
    <col min="12" max="14" width="3.28515625" style="10" bestFit="1" customWidth="1"/>
    <col min="15" max="15" width="3.28515625" style="10" customWidth="1"/>
    <col min="16" max="16" width="3.85546875" style="10" bestFit="1" customWidth="1"/>
    <col min="17" max="17" width="7.7109375" style="10" customWidth="1"/>
    <col min="18" max="18" width="6" style="11" customWidth="1"/>
    <col min="19" max="19" width="9.7109375" style="10" customWidth="1"/>
    <col min="20" max="20" width="7" style="10" customWidth="1"/>
    <col min="21" max="21" width="9.140625" style="10"/>
    <col min="22" max="22" width="13.7109375" style="10" bestFit="1" customWidth="1"/>
    <col min="23" max="16384" width="9.140625" style="10"/>
  </cols>
  <sheetData>
    <row r="1" spans="1:22" s="9" customFormat="1" ht="44.25" customHeight="1" x14ac:dyDescent="0.2">
      <c r="A1" s="113" t="str">
        <f>IF(Info!B1&lt;&gt;0,Info!B1,"Please fill out info sheet")</f>
        <v>Ms. Johnston</v>
      </c>
      <c r="B1" s="114" t="s">
        <v>41</v>
      </c>
      <c r="C1" s="114"/>
      <c r="D1" s="115" t="s">
        <v>9</v>
      </c>
      <c r="E1" s="116" t="s">
        <v>59</v>
      </c>
      <c r="F1" s="117"/>
      <c r="G1" s="117"/>
      <c r="H1" s="117"/>
      <c r="I1" s="117"/>
      <c r="J1" s="117"/>
      <c r="K1" s="118"/>
      <c r="L1" s="131" t="s">
        <v>37</v>
      </c>
      <c r="M1" s="132"/>
      <c r="N1" s="132"/>
      <c r="O1" s="132"/>
      <c r="P1" s="132"/>
      <c r="Q1" s="133"/>
      <c r="R1" s="119">
        <f>IF(COUNTA(class_list)&lt;&gt;0,(COUNTIF(UNIT_1_scores,"&gt;=.795"))/COUNTA(class_list), "N/A")</f>
        <v>0.66666666666666663</v>
      </c>
      <c r="S1" s="120"/>
    </row>
    <row r="2" spans="1:22" ht="66" customHeight="1" x14ac:dyDescent="0.25">
      <c r="A2" s="138" t="s">
        <v>1</v>
      </c>
      <c r="B2" s="134" t="s">
        <v>39</v>
      </c>
      <c r="C2" s="134"/>
      <c r="D2" s="134"/>
      <c r="E2" s="134"/>
      <c r="F2" s="134"/>
      <c r="G2" s="134"/>
      <c r="H2" s="134"/>
      <c r="I2" s="134"/>
      <c r="J2" s="134"/>
      <c r="K2" s="134"/>
      <c r="L2" s="135" t="s">
        <v>40</v>
      </c>
      <c r="M2" s="136"/>
      <c r="N2" s="136"/>
      <c r="O2" s="136"/>
      <c r="P2" s="136"/>
      <c r="Q2" s="137"/>
      <c r="R2" s="139" t="s">
        <v>31</v>
      </c>
      <c r="S2" s="140"/>
    </row>
    <row r="3" spans="1:22" ht="15.75" customHeight="1" x14ac:dyDescent="0.25">
      <c r="A3" s="141" t="s">
        <v>2</v>
      </c>
      <c r="B3" s="121">
        <v>1</v>
      </c>
      <c r="C3" s="121">
        <v>2</v>
      </c>
      <c r="D3" s="121">
        <v>3</v>
      </c>
      <c r="E3" s="121">
        <v>4</v>
      </c>
      <c r="F3" s="121">
        <v>5</v>
      </c>
      <c r="G3" s="121">
        <v>6</v>
      </c>
      <c r="H3" s="121">
        <v>7</v>
      </c>
      <c r="I3" s="121">
        <v>8</v>
      </c>
      <c r="J3" s="121">
        <v>9</v>
      </c>
      <c r="K3" s="121">
        <v>10</v>
      </c>
      <c r="L3" s="121">
        <v>11</v>
      </c>
      <c r="M3" s="121">
        <v>12</v>
      </c>
      <c r="N3" s="121">
        <v>13</v>
      </c>
      <c r="O3" s="121">
        <v>14</v>
      </c>
      <c r="P3" s="121">
        <v>15</v>
      </c>
      <c r="Q3" s="121">
        <v>16</v>
      </c>
      <c r="R3" s="121" t="s">
        <v>4</v>
      </c>
      <c r="S3" s="142" t="s">
        <v>17</v>
      </c>
      <c r="V3" s="30"/>
    </row>
    <row r="4" spans="1:22" ht="14.1" customHeight="1" x14ac:dyDescent="0.25">
      <c r="A4" s="141" t="s">
        <v>3</v>
      </c>
      <c r="B4" s="143">
        <v>1</v>
      </c>
      <c r="C4" s="143">
        <v>2</v>
      </c>
      <c r="D4" s="143">
        <v>1</v>
      </c>
      <c r="E4" s="143">
        <v>1</v>
      </c>
      <c r="F4" s="143">
        <v>2</v>
      </c>
      <c r="G4" s="143">
        <v>1</v>
      </c>
      <c r="H4" s="143"/>
      <c r="I4" s="143">
        <v>1</v>
      </c>
      <c r="J4" s="143">
        <v>1</v>
      </c>
      <c r="K4" s="143"/>
      <c r="L4" s="143">
        <v>1</v>
      </c>
      <c r="M4" s="143">
        <v>1</v>
      </c>
      <c r="N4" s="143"/>
      <c r="O4" s="143">
        <v>1</v>
      </c>
      <c r="P4" s="143">
        <v>1</v>
      </c>
      <c r="Q4" s="143">
        <v>1</v>
      </c>
      <c r="R4" s="142">
        <f>SUM(B4:Q4)</f>
        <v>15</v>
      </c>
      <c r="S4" s="142"/>
      <c r="V4" s="30"/>
    </row>
    <row r="5" spans="1:22" x14ac:dyDescent="0.25">
      <c r="A5" s="122" t="s">
        <v>0</v>
      </c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</row>
    <row r="6" spans="1:22" x14ac:dyDescent="0.25">
      <c r="A6" s="123" t="str">
        <f>(IF(Info!$B3&lt;&gt;"",Info!$B3,""))</f>
        <v>Cal Ripkin</v>
      </c>
      <c r="B6" s="124">
        <v>1</v>
      </c>
      <c r="C6" s="124">
        <v>0</v>
      </c>
      <c r="D6" s="124">
        <v>1</v>
      </c>
      <c r="E6" s="124">
        <v>1</v>
      </c>
      <c r="F6" s="124">
        <v>1</v>
      </c>
      <c r="G6" s="124">
        <v>1</v>
      </c>
      <c r="H6" s="124" t="s">
        <v>91</v>
      </c>
      <c r="I6" s="124">
        <v>0</v>
      </c>
      <c r="J6" s="124">
        <v>0</v>
      </c>
      <c r="K6" s="124" t="s">
        <v>91</v>
      </c>
      <c r="L6" s="124">
        <v>0</v>
      </c>
      <c r="M6" s="124">
        <v>1</v>
      </c>
      <c r="N6" s="124" t="s">
        <v>91</v>
      </c>
      <c r="O6" s="124">
        <v>1</v>
      </c>
      <c r="P6" s="124">
        <v>1</v>
      </c>
      <c r="Q6" s="124">
        <v>1</v>
      </c>
      <c r="R6" s="125">
        <f t="shared" ref="R6:R37" si="0">IF(COUNTA(B6:Q6)=0,"",SUM(B6:Q6))</f>
        <v>9</v>
      </c>
      <c r="S6" s="126">
        <f t="shared" ref="S6:S37" si="1">IF(COUNTA(B6:Q6)=0,"",SUM(B6:Q6)/$R$4)</f>
        <v>0.6</v>
      </c>
    </row>
    <row r="7" spans="1:22" x14ac:dyDescent="0.25">
      <c r="A7" s="123" t="str">
        <f>(IF(Info!$B4&lt;&gt;"",Info!$B4,""))</f>
        <v>Brooks Robinson</v>
      </c>
      <c r="B7" s="124">
        <v>1</v>
      </c>
      <c r="C7" s="124">
        <v>2</v>
      </c>
      <c r="D7" s="124">
        <v>1</v>
      </c>
      <c r="E7" s="124">
        <v>1</v>
      </c>
      <c r="F7" s="124">
        <v>2</v>
      </c>
      <c r="G7" s="124">
        <v>1</v>
      </c>
      <c r="H7" s="124" t="s">
        <v>91</v>
      </c>
      <c r="I7" s="124">
        <v>0</v>
      </c>
      <c r="J7" s="124">
        <v>1</v>
      </c>
      <c r="K7" s="124" t="s">
        <v>91</v>
      </c>
      <c r="L7" s="124">
        <v>1</v>
      </c>
      <c r="M7" s="124">
        <v>1</v>
      </c>
      <c r="N7" s="124" t="s">
        <v>91</v>
      </c>
      <c r="O7" s="124">
        <v>1</v>
      </c>
      <c r="P7" s="124">
        <v>1</v>
      </c>
      <c r="Q7" s="124">
        <v>1</v>
      </c>
      <c r="R7" s="125">
        <f t="shared" si="0"/>
        <v>14</v>
      </c>
      <c r="S7" s="126">
        <f t="shared" si="1"/>
        <v>0.93333333333333335</v>
      </c>
    </row>
    <row r="8" spans="1:22" x14ac:dyDescent="0.25">
      <c r="A8" s="123" t="str">
        <f>(IF(Info!$B5&lt;&gt;"",Info!$B5,""))</f>
        <v>Frank Robinson</v>
      </c>
      <c r="B8" s="124">
        <v>1</v>
      </c>
      <c r="C8" s="124">
        <v>1</v>
      </c>
      <c r="D8" s="124">
        <v>1</v>
      </c>
      <c r="E8" s="124">
        <v>1</v>
      </c>
      <c r="F8" s="124">
        <v>1</v>
      </c>
      <c r="G8" s="124">
        <v>0</v>
      </c>
      <c r="H8" s="124" t="s">
        <v>91</v>
      </c>
      <c r="I8" s="124">
        <v>1</v>
      </c>
      <c r="J8" s="124">
        <v>0</v>
      </c>
      <c r="K8" s="124" t="s">
        <v>91</v>
      </c>
      <c r="L8" s="124">
        <v>1</v>
      </c>
      <c r="M8" s="124">
        <v>1</v>
      </c>
      <c r="N8" s="124" t="s">
        <v>91</v>
      </c>
      <c r="O8" s="124">
        <v>1</v>
      </c>
      <c r="P8" s="124">
        <v>1</v>
      </c>
      <c r="Q8" s="124">
        <v>1</v>
      </c>
      <c r="R8" s="125">
        <f t="shared" si="0"/>
        <v>11</v>
      </c>
      <c r="S8" s="126">
        <f t="shared" si="1"/>
        <v>0.73333333333333328</v>
      </c>
    </row>
    <row r="9" spans="1:22" x14ac:dyDescent="0.25">
      <c r="A9" s="123" t="str">
        <f>(IF(Info!$B6&lt;&gt;"",Info!$B6,""))</f>
        <v>Jim Palmer</v>
      </c>
      <c r="B9" s="124">
        <v>1</v>
      </c>
      <c r="C9" s="124">
        <v>2</v>
      </c>
      <c r="D9" s="124">
        <v>1</v>
      </c>
      <c r="E9" s="124">
        <v>1</v>
      </c>
      <c r="F9" s="124">
        <v>2</v>
      </c>
      <c r="G9" s="124">
        <v>1</v>
      </c>
      <c r="H9" s="124" t="s">
        <v>91</v>
      </c>
      <c r="I9" s="124">
        <v>0</v>
      </c>
      <c r="J9" s="124">
        <v>1</v>
      </c>
      <c r="K9" s="124" t="s">
        <v>91</v>
      </c>
      <c r="L9" s="124">
        <v>1</v>
      </c>
      <c r="M9" s="124">
        <v>1</v>
      </c>
      <c r="N9" s="124" t="s">
        <v>91</v>
      </c>
      <c r="O9" s="124">
        <v>1</v>
      </c>
      <c r="P9" s="124">
        <v>1</v>
      </c>
      <c r="Q9" s="124">
        <v>1</v>
      </c>
      <c r="R9" s="125">
        <f t="shared" si="0"/>
        <v>14</v>
      </c>
      <c r="S9" s="126">
        <f t="shared" si="1"/>
        <v>0.93333333333333335</v>
      </c>
    </row>
    <row r="10" spans="1:22" x14ac:dyDescent="0.25">
      <c r="A10" s="123" t="str">
        <f>(IF(Info!$B7&lt;&gt;"",Info!$B7,""))</f>
        <v>Eddie Murray</v>
      </c>
      <c r="B10" s="124">
        <v>1</v>
      </c>
      <c r="C10" s="124">
        <v>1</v>
      </c>
      <c r="D10" s="124">
        <v>1</v>
      </c>
      <c r="E10" s="124">
        <v>1</v>
      </c>
      <c r="F10" s="124">
        <v>1</v>
      </c>
      <c r="G10" s="124">
        <v>1</v>
      </c>
      <c r="H10" s="124" t="s">
        <v>91</v>
      </c>
      <c r="I10" s="124">
        <v>1</v>
      </c>
      <c r="J10" s="124">
        <v>0</v>
      </c>
      <c r="K10" s="124" t="s">
        <v>91</v>
      </c>
      <c r="L10" s="124">
        <v>1</v>
      </c>
      <c r="M10" s="124">
        <v>0</v>
      </c>
      <c r="N10" s="124" t="s">
        <v>91</v>
      </c>
      <c r="O10" s="124">
        <v>1</v>
      </c>
      <c r="P10" s="124">
        <v>0</v>
      </c>
      <c r="Q10" s="124">
        <v>1</v>
      </c>
      <c r="R10" s="125">
        <f t="shared" si="0"/>
        <v>10</v>
      </c>
      <c r="S10" s="126">
        <f t="shared" si="1"/>
        <v>0.66666666666666663</v>
      </c>
    </row>
    <row r="11" spans="1:22" x14ac:dyDescent="0.25">
      <c r="A11" s="123" t="str">
        <f>(IF(Info!$B8&lt;&gt;"",Info!$B8,""))</f>
        <v>Manny Machado</v>
      </c>
      <c r="B11" s="124">
        <v>1</v>
      </c>
      <c r="C11" s="124">
        <v>2</v>
      </c>
      <c r="D11" s="124">
        <v>1</v>
      </c>
      <c r="E11" s="124">
        <v>1</v>
      </c>
      <c r="F11" s="124">
        <v>2</v>
      </c>
      <c r="G11" s="124">
        <v>1</v>
      </c>
      <c r="H11" s="124" t="s">
        <v>91</v>
      </c>
      <c r="I11" s="124">
        <v>1</v>
      </c>
      <c r="J11" s="124">
        <v>1</v>
      </c>
      <c r="K11" s="124" t="s">
        <v>91</v>
      </c>
      <c r="L11" s="124">
        <v>1</v>
      </c>
      <c r="M11" s="124">
        <v>1</v>
      </c>
      <c r="N11" s="124" t="s">
        <v>91</v>
      </c>
      <c r="O11" s="124">
        <v>1</v>
      </c>
      <c r="P11" s="124">
        <v>1</v>
      </c>
      <c r="Q11" s="124">
        <v>1</v>
      </c>
      <c r="R11" s="125">
        <f t="shared" si="0"/>
        <v>15</v>
      </c>
      <c r="S11" s="126">
        <f t="shared" si="1"/>
        <v>1</v>
      </c>
    </row>
    <row r="12" spans="1:22" x14ac:dyDescent="0.25">
      <c r="A12" s="123" t="str">
        <f>(IF(Info!$B9&lt;&gt;"",Info!$B9,""))</f>
        <v>Boog Powell</v>
      </c>
      <c r="B12" s="124">
        <v>1</v>
      </c>
      <c r="C12" s="124">
        <v>2</v>
      </c>
      <c r="D12" s="124">
        <v>1</v>
      </c>
      <c r="E12" s="124">
        <v>1</v>
      </c>
      <c r="F12" s="124">
        <v>2</v>
      </c>
      <c r="G12" s="124">
        <v>1</v>
      </c>
      <c r="H12" s="124" t="s">
        <v>91</v>
      </c>
      <c r="I12" s="124">
        <v>1</v>
      </c>
      <c r="J12" s="124">
        <v>1</v>
      </c>
      <c r="K12" s="124" t="s">
        <v>91</v>
      </c>
      <c r="L12" s="124">
        <v>1</v>
      </c>
      <c r="M12" s="124">
        <v>1</v>
      </c>
      <c r="N12" s="124" t="s">
        <v>91</v>
      </c>
      <c r="O12" s="124">
        <v>1</v>
      </c>
      <c r="P12" s="124">
        <v>1</v>
      </c>
      <c r="Q12" s="124">
        <v>1</v>
      </c>
      <c r="R12" s="125">
        <f t="shared" si="0"/>
        <v>15</v>
      </c>
      <c r="S12" s="126">
        <f t="shared" si="1"/>
        <v>1</v>
      </c>
    </row>
    <row r="13" spans="1:22" x14ac:dyDescent="0.25">
      <c r="A13" s="123" t="str">
        <f>(IF(Info!$B10&lt;&gt;"",Info!$B10,""))</f>
        <v>Brady Anderson</v>
      </c>
      <c r="B13" s="124">
        <v>1</v>
      </c>
      <c r="C13" s="124">
        <v>2</v>
      </c>
      <c r="D13" s="124">
        <v>1</v>
      </c>
      <c r="E13" s="124">
        <v>1</v>
      </c>
      <c r="F13" s="124">
        <v>2</v>
      </c>
      <c r="G13" s="124">
        <v>1</v>
      </c>
      <c r="H13" s="124" t="s">
        <v>91</v>
      </c>
      <c r="I13" s="124">
        <v>1</v>
      </c>
      <c r="J13" s="124">
        <v>1</v>
      </c>
      <c r="K13" s="124" t="s">
        <v>91</v>
      </c>
      <c r="L13" s="124">
        <v>1</v>
      </c>
      <c r="M13" s="124">
        <v>1</v>
      </c>
      <c r="N13" s="124" t="s">
        <v>91</v>
      </c>
      <c r="O13" s="124">
        <v>1</v>
      </c>
      <c r="P13" s="124">
        <v>1</v>
      </c>
      <c r="Q13" s="124">
        <v>1</v>
      </c>
      <c r="R13" s="125">
        <f t="shared" si="0"/>
        <v>15</v>
      </c>
      <c r="S13" s="126">
        <f t="shared" si="1"/>
        <v>1</v>
      </c>
    </row>
    <row r="14" spans="1:22" x14ac:dyDescent="0.25">
      <c r="A14" s="123" t="str">
        <f>(IF(Info!$B11&lt;&gt;"",Info!$B11,""))</f>
        <v>Rafael Palmero</v>
      </c>
      <c r="B14" s="124">
        <v>1</v>
      </c>
      <c r="C14" s="124">
        <v>2</v>
      </c>
      <c r="D14" s="124">
        <v>1</v>
      </c>
      <c r="E14" s="124">
        <v>1</v>
      </c>
      <c r="F14" s="124">
        <v>2</v>
      </c>
      <c r="G14" s="124">
        <v>1</v>
      </c>
      <c r="H14" s="124" t="s">
        <v>91</v>
      </c>
      <c r="I14" s="124">
        <v>1</v>
      </c>
      <c r="J14" s="124">
        <v>1</v>
      </c>
      <c r="K14" s="124" t="s">
        <v>91</v>
      </c>
      <c r="L14" s="124">
        <v>1</v>
      </c>
      <c r="M14" s="124">
        <v>1</v>
      </c>
      <c r="N14" s="124" t="s">
        <v>91</v>
      </c>
      <c r="O14" s="124">
        <v>1</v>
      </c>
      <c r="P14" s="124">
        <v>1</v>
      </c>
      <c r="Q14" s="124">
        <v>1</v>
      </c>
      <c r="R14" s="125">
        <f t="shared" si="0"/>
        <v>15</v>
      </c>
      <c r="S14" s="126">
        <f t="shared" si="1"/>
        <v>1</v>
      </c>
    </row>
    <row r="15" spans="1:22" x14ac:dyDescent="0.25">
      <c r="A15" s="123" t="str">
        <f>(IF(Info!$B12&lt;&gt;"",Info!$B12,""))</f>
        <v>Melvin Mora</v>
      </c>
      <c r="B15" s="124">
        <v>1</v>
      </c>
      <c r="C15" s="124">
        <v>0</v>
      </c>
      <c r="D15" s="124">
        <v>0</v>
      </c>
      <c r="E15" s="124">
        <v>0</v>
      </c>
      <c r="F15" s="124">
        <v>1</v>
      </c>
      <c r="G15" s="124">
        <v>0</v>
      </c>
      <c r="H15" s="124" t="s">
        <v>91</v>
      </c>
      <c r="I15" s="124">
        <v>0</v>
      </c>
      <c r="J15" s="124">
        <v>0</v>
      </c>
      <c r="K15" s="124" t="s">
        <v>91</v>
      </c>
      <c r="L15" s="124">
        <v>0</v>
      </c>
      <c r="M15" s="124">
        <v>0</v>
      </c>
      <c r="N15" s="124" t="s">
        <v>91</v>
      </c>
      <c r="O15" s="124">
        <v>1</v>
      </c>
      <c r="P15" s="124">
        <v>0</v>
      </c>
      <c r="Q15" s="124">
        <v>0</v>
      </c>
      <c r="R15" s="125">
        <f t="shared" si="0"/>
        <v>3</v>
      </c>
      <c r="S15" s="126">
        <f t="shared" si="1"/>
        <v>0.2</v>
      </c>
    </row>
    <row r="16" spans="1:22" x14ac:dyDescent="0.25">
      <c r="A16" s="123" t="str">
        <f>(IF(Info!$B13&lt;&gt;"",Info!$B13,""))</f>
        <v>Dave McNally</v>
      </c>
      <c r="B16" s="124">
        <v>1</v>
      </c>
      <c r="C16" s="124">
        <v>2</v>
      </c>
      <c r="D16" s="124">
        <v>1</v>
      </c>
      <c r="E16" s="124">
        <v>1</v>
      </c>
      <c r="F16" s="124">
        <v>2</v>
      </c>
      <c r="G16" s="124">
        <v>1</v>
      </c>
      <c r="H16" s="124" t="s">
        <v>91</v>
      </c>
      <c r="I16" s="124">
        <v>1</v>
      </c>
      <c r="J16" s="124">
        <v>1</v>
      </c>
      <c r="K16" s="124" t="s">
        <v>91</v>
      </c>
      <c r="L16" s="124">
        <v>1</v>
      </c>
      <c r="M16" s="124">
        <v>1</v>
      </c>
      <c r="N16" s="124" t="s">
        <v>91</v>
      </c>
      <c r="O16" s="124">
        <v>1</v>
      </c>
      <c r="P16" s="124">
        <v>1</v>
      </c>
      <c r="Q16" s="124">
        <v>1</v>
      </c>
      <c r="R16" s="125">
        <f t="shared" si="0"/>
        <v>15</v>
      </c>
      <c r="S16" s="126">
        <f t="shared" si="1"/>
        <v>1</v>
      </c>
    </row>
    <row r="17" spans="1:19" x14ac:dyDescent="0.25">
      <c r="A17" s="123" t="str">
        <f>(IF(Info!$B14&lt;&gt;"",Info!$B14,""))</f>
        <v>Ken Singleton</v>
      </c>
      <c r="B17" s="124">
        <v>1</v>
      </c>
      <c r="C17" s="124">
        <v>2</v>
      </c>
      <c r="D17" s="124">
        <v>1</v>
      </c>
      <c r="E17" s="124">
        <v>1</v>
      </c>
      <c r="F17" s="124">
        <v>2</v>
      </c>
      <c r="G17" s="124">
        <v>1</v>
      </c>
      <c r="H17" s="124" t="s">
        <v>91</v>
      </c>
      <c r="I17" s="124">
        <v>1</v>
      </c>
      <c r="J17" s="124">
        <v>1</v>
      </c>
      <c r="K17" s="124" t="s">
        <v>91</v>
      </c>
      <c r="L17" s="124">
        <v>1</v>
      </c>
      <c r="M17" s="124">
        <v>1</v>
      </c>
      <c r="N17" s="124" t="s">
        <v>91</v>
      </c>
      <c r="O17" s="124">
        <v>1</v>
      </c>
      <c r="P17" s="124">
        <v>1</v>
      </c>
      <c r="Q17" s="124">
        <v>1</v>
      </c>
      <c r="R17" s="125">
        <f t="shared" si="0"/>
        <v>15</v>
      </c>
      <c r="S17" s="126">
        <f t="shared" si="1"/>
        <v>1</v>
      </c>
    </row>
    <row r="18" spans="1:19" x14ac:dyDescent="0.25">
      <c r="A18" s="123" t="str">
        <f>(IF(Info!$B15&lt;&gt;"",Info!$B15,""))</f>
        <v>Jonathan Schoop</v>
      </c>
      <c r="B18" s="124">
        <v>1</v>
      </c>
      <c r="C18" s="124">
        <v>2</v>
      </c>
      <c r="D18" s="124">
        <v>1</v>
      </c>
      <c r="E18" s="124">
        <v>1</v>
      </c>
      <c r="F18" s="124">
        <v>1</v>
      </c>
      <c r="G18" s="124">
        <v>1</v>
      </c>
      <c r="H18" s="124" t="s">
        <v>91</v>
      </c>
      <c r="I18" s="124">
        <v>1</v>
      </c>
      <c r="J18" s="124">
        <v>0</v>
      </c>
      <c r="K18" s="124" t="s">
        <v>91</v>
      </c>
      <c r="L18" s="124">
        <v>1</v>
      </c>
      <c r="M18" s="124">
        <v>0</v>
      </c>
      <c r="N18" s="124" t="s">
        <v>91</v>
      </c>
      <c r="O18" s="124">
        <v>1</v>
      </c>
      <c r="P18" s="124">
        <v>1</v>
      </c>
      <c r="Q18" s="124">
        <v>1</v>
      </c>
      <c r="R18" s="125">
        <f t="shared" si="0"/>
        <v>12</v>
      </c>
      <c r="S18" s="126">
        <f t="shared" si="1"/>
        <v>0.8</v>
      </c>
    </row>
    <row r="19" spans="1:19" x14ac:dyDescent="0.25">
      <c r="A19" s="123" t="str">
        <f>(IF(Info!$B16&lt;&gt;"",Info!$B16,""))</f>
        <v>Paul Blair</v>
      </c>
      <c r="B19" s="124">
        <v>1</v>
      </c>
      <c r="C19" s="124">
        <v>2</v>
      </c>
      <c r="D19" s="124">
        <v>1</v>
      </c>
      <c r="E19" s="124">
        <v>1</v>
      </c>
      <c r="F19" s="124">
        <v>1</v>
      </c>
      <c r="G19" s="124">
        <v>1</v>
      </c>
      <c r="H19" s="124" t="s">
        <v>91</v>
      </c>
      <c r="I19" s="124">
        <v>1</v>
      </c>
      <c r="J19" s="124">
        <v>1</v>
      </c>
      <c r="K19" s="124" t="s">
        <v>91</v>
      </c>
      <c r="L19" s="124">
        <v>1</v>
      </c>
      <c r="M19" s="124">
        <v>1</v>
      </c>
      <c r="N19" s="124" t="s">
        <v>91</v>
      </c>
      <c r="O19" s="124">
        <v>0</v>
      </c>
      <c r="P19" s="124">
        <v>1</v>
      </c>
      <c r="Q19" s="124">
        <v>1</v>
      </c>
      <c r="R19" s="125">
        <f t="shared" si="0"/>
        <v>13</v>
      </c>
      <c r="S19" s="126">
        <f t="shared" si="1"/>
        <v>0.8666666666666667</v>
      </c>
    </row>
    <row r="20" spans="1:19" x14ac:dyDescent="0.25">
      <c r="A20" s="123" t="str">
        <f>(IF(Info!$B17&lt;&gt;"",Info!$B17,""))</f>
        <v>Mark Belanger</v>
      </c>
      <c r="B20" s="124">
        <v>0</v>
      </c>
      <c r="C20" s="124">
        <v>0</v>
      </c>
      <c r="D20" s="124">
        <v>0</v>
      </c>
      <c r="E20" s="124">
        <v>0</v>
      </c>
      <c r="F20" s="124">
        <v>0</v>
      </c>
      <c r="G20" s="124">
        <v>0</v>
      </c>
      <c r="H20" s="124" t="s">
        <v>91</v>
      </c>
      <c r="I20" s="124">
        <v>0</v>
      </c>
      <c r="J20" s="124">
        <v>0</v>
      </c>
      <c r="K20" s="124" t="s">
        <v>91</v>
      </c>
      <c r="L20" s="124">
        <v>0</v>
      </c>
      <c r="M20" s="124">
        <v>0</v>
      </c>
      <c r="N20" s="124" t="s">
        <v>91</v>
      </c>
      <c r="O20" s="124">
        <v>1</v>
      </c>
      <c r="P20" s="124">
        <v>1</v>
      </c>
      <c r="Q20" s="124">
        <v>1</v>
      </c>
      <c r="R20" s="125">
        <f t="shared" si="0"/>
        <v>3</v>
      </c>
      <c r="S20" s="126">
        <f t="shared" si="1"/>
        <v>0.2</v>
      </c>
    </row>
    <row r="21" spans="1:19" x14ac:dyDescent="0.25">
      <c r="A21" s="123" t="str">
        <f>(IF(Info!$B18&lt;&gt;"",Info!$B18,""))</f>
        <v>Davey Johnson</v>
      </c>
      <c r="B21" s="124">
        <v>1</v>
      </c>
      <c r="C21" s="124">
        <v>1</v>
      </c>
      <c r="D21" s="124">
        <v>1</v>
      </c>
      <c r="E21" s="124">
        <v>1</v>
      </c>
      <c r="F21" s="124">
        <v>1</v>
      </c>
      <c r="G21" s="124">
        <v>1</v>
      </c>
      <c r="H21" s="124" t="s">
        <v>91</v>
      </c>
      <c r="I21" s="124">
        <v>0</v>
      </c>
      <c r="J21" s="124">
        <v>1</v>
      </c>
      <c r="K21" s="124" t="s">
        <v>91</v>
      </c>
      <c r="L21" s="124">
        <v>1</v>
      </c>
      <c r="M21" s="124">
        <v>1</v>
      </c>
      <c r="N21" s="124" t="s">
        <v>91</v>
      </c>
      <c r="O21" s="124">
        <v>1</v>
      </c>
      <c r="P21" s="124">
        <v>1</v>
      </c>
      <c r="Q21" s="124">
        <v>1</v>
      </c>
      <c r="R21" s="125">
        <f t="shared" si="0"/>
        <v>12</v>
      </c>
      <c r="S21" s="126">
        <f t="shared" si="1"/>
        <v>0.8</v>
      </c>
    </row>
    <row r="22" spans="1:19" x14ac:dyDescent="0.25">
      <c r="A22" s="123" t="str">
        <f>(IF(Info!$B19&lt;&gt;"",Info!$B19,""))</f>
        <v>Miguel Tejada</v>
      </c>
      <c r="B22" s="124">
        <v>1</v>
      </c>
      <c r="C22" s="124">
        <v>2</v>
      </c>
      <c r="D22" s="124">
        <v>1</v>
      </c>
      <c r="E22" s="124">
        <v>1</v>
      </c>
      <c r="F22" s="124">
        <v>0</v>
      </c>
      <c r="G22" s="124">
        <v>1</v>
      </c>
      <c r="H22" s="124" t="s">
        <v>91</v>
      </c>
      <c r="I22" s="124">
        <v>0</v>
      </c>
      <c r="J22" s="124">
        <v>1</v>
      </c>
      <c r="K22" s="124" t="s">
        <v>91</v>
      </c>
      <c r="L22" s="124">
        <v>0</v>
      </c>
      <c r="M22" s="124">
        <v>1</v>
      </c>
      <c r="N22" s="124" t="s">
        <v>91</v>
      </c>
      <c r="O22" s="124">
        <v>1</v>
      </c>
      <c r="P22" s="124">
        <v>1</v>
      </c>
      <c r="Q22" s="124">
        <v>1</v>
      </c>
      <c r="R22" s="125">
        <f t="shared" si="0"/>
        <v>11</v>
      </c>
      <c r="S22" s="126">
        <f t="shared" si="1"/>
        <v>0.73333333333333328</v>
      </c>
    </row>
    <row r="23" spans="1:19" x14ac:dyDescent="0.25">
      <c r="A23" s="123" t="str">
        <f>(IF(Info!$B20&lt;&gt;"",Info!$B20,""))</f>
        <v>Adam Jones</v>
      </c>
      <c r="B23" s="124">
        <v>1</v>
      </c>
      <c r="C23" s="124">
        <v>2</v>
      </c>
      <c r="D23" s="124">
        <v>1</v>
      </c>
      <c r="E23" s="124">
        <v>1</v>
      </c>
      <c r="F23" s="124">
        <v>2</v>
      </c>
      <c r="G23" s="124">
        <v>1</v>
      </c>
      <c r="H23" s="124" t="s">
        <v>91</v>
      </c>
      <c r="I23" s="124">
        <v>2</v>
      </c>
      <c r="J23" s="124">
        <v>0</v>
      </c>
      <c r="K23" s="124" t="s">
        <v>91</v>
      </c>
      <c r="L23" s="124">
        <v>1</v>
      </c>
      <c r="M23" s="124">
        <v>1</v>
      </c>
      <c r="N23" s="124" t="s">
        <v>91</v>
      </c>
      <c r="O23" s="124">
        <v>1</v>
      </c>
      <c r="P23" s="124">
        <v>1</v>
      </c>
      <c r="Q23" s="124">
        <v>1</v>
      </c>
      <c r="R23" s="125">
        <f t="shared" si="0"/>
        <v>15</v>
      </c>
      <c r="S23" s="126">
        <f t="shared" si="1"/>
        <v>1</v>
      </c>
    </row>
    <row r="24" spans="1:19" x14ac:dyDescent="0.25">
      <c r="A24" s="123" t="str">
        <f>(IF(Info!$B21&lt;&gt;"",Info!$B21,""))</f>
        <v/>
      </c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5" t="str">
        <f t="shared" si="0"/>
        <v/>
      </c>
      <c r="S24" s="126" t="str">
        <f t="shared" si="1"/>
        <v/>
      </c>
    </row>
    <row r="25" spans="1:19" x14ac:dyDescent="0.25">
      <c r="A25" s="123" t="str">
        <f>(IF(Info!$B22&lt;&gt;"",Info!$B22,""))</f>
        <v/>
      </c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5" t="str">
        <f t="shared" si="0"/>
        <v/>
      </c>
      <c r="S25" s="126" t="str">
        <f t="shared" si="1"/>
        <v/>
      </c>
    </row>
    <row r="26" spans="1:19" x14ac:dyDescent="0.25">
      <c r="A26" s="123" t="str">
        <f>(IF(Info!$B23&lt;&gt;"",Info!$B23,""))</f>
        <v/>
      </c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5" t="str">
        <f t="shared" si="0"/>
        <v/>
      </c>
      <c r="S26" s="126" t="str">
        <f t="shared" si="1"/>
        <v/>
      </c>
    </row>
    <row r="27" spans="1:19" x14ac:dyDescent="0.25">
      <c r="A27" s="123" t="str">
        <f>(IF(Info!$B24&lt;&gt;"",Info!$B24,""))</f>
        <v/>
      </c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5" t="str">
        <f t="shared" si="0"/>
        <v/>
      </c>
      <c r="S27" s="126" t="str">
        <f t="shared" si="1"/>
        <v/>
      </c>
    </row>
    <row r="28" spans="1:19" x14ac:dyDescent="0.25">
      <c r="A28" s="123" t="str">
        <f>(IF(Info!$B25&lt;&gt;"",Info!$B25,""))</f>
        <v/>
      </c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5" t="str">
        <f t="shared" si="0"/>
        <v/>
      </c>
      <c r="S28" s="126" t="str">
        <f t="shared" si="1"/>
        <v/>
      </c>
    </row>
    <row r="29" spans="1:19" x14ac:dyDescent="0.25">
      <c r="A29" s="123" t="str">
        <f>(IF(Info!$B26&lt;&gt;"",Info!$B26,""))</f>
        <v/>
      </c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5" t="str">
        <f t="shared" si="0"/>
        <v/>
      </c>
      <c r="S29" s="126" t="str">
        <f t="shared" si="1"/>
        <v/>
      </c>
    </row>
    <row r="30" spans="1:19" x14ac:dyDescent="0.25">
      <c r="A30" s="123" t="str">
        <f>(IF(Info!$B27&lt;&gt;"",Info!$B27,""))</f>
        <v/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5" t="str">
        <f t="shared" si="0"/>
        <v/>
      </c>
      <c r="S30" s="126" t="str">
        <f t="shared" si="1"/>
        <v/>
      </c>
    </row>
    <row r="31" spans="1:19" x14ac:dyDescent="0.25">
      <c r="A31" s="123" t="str">
        <f>(IF(Info!$B28&lt;&gt;"",Info!$B28,""))</f>
        <v/>
      </c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5" t="str">
        <f t="shared" si="0"/>
        <v/>
      </c>
      <c r="S31" s="126" t="str">
        <f t="shared" si="1"/>
        <v/>
      </c>
    </row>
    <row r="32" spans="1:19" x14ac:dyDescent="0.25">
      <c r="A32" s="123" t="str">
        <f>(IF(Info!$B29&lt;&gt;"",Info!$B29,""))</f>
        <v/>
      </c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5" t="str">
        <f t="shared" si="0"/>
        <v/>
      </c>
      <c r="S32" s="126" t="str">
        <f t="shared" si="1"/>
        <v/>
      </c>
    </row>
    <row r="33" spans="1:19" x14ac:dyDescent="0.25">
      <c r="A33" s="123" t="str">
        <f>(IF(Info!$B30&lt;&gt;"",Info!$B30,""))</f>
        <v/>
      </c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5" t="str">
        <f t="shared" si="0"/>
        <v/>
      </c>
      <c r="S33" s="126" t="str">
        <f t="shared" si="1"/>
        <v/>
      </c>
    </row>
    <row r="34" spans="1:19" x14ac:dyDescent="0.25">
      <c r="A34" s="123" t="str">
        <f>(IF(Info!$B31&lt;&gt;"",Info!$B31,""))</f>
        <v/>
      </c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5" t="str">
        <f t="shared" si="0"/>
        <v/>
      </c>
      <c r="S34" s="126" t="str">
        <f t="shared" si="1"/>
        <v/>
      </c>
    </row>
    <row r="35" spans="1:19" x14ac:dyDescent="0.25">
      <c r="A35" s="123" t="str">
        <f>(IF(Info!$B32&lt;&gt;"",Info!$B32,""))</f>
        <v/>
      </c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5" t="str">
        <f t="shared" si="0"/>
        <v/>
      </c>
      <c r="S35" s="126" t="str">
        <f t="shared" si="1"/>
        <v/>
      </c>
    </row>
    <row r="36" spans="1:19" x14ac:dyDescent="0.25">
      <c r="A36" s="123" t="str">
        <f>(IF(Info!$B33&lt;&gt;"",Info!$B33,""))</f>
        <v/>
      </c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5" t="str">
        <f t="shared" si="0"/>
        <v/>
      </c>
      <c r="S36" s="126" t="str">
        <f t="shared" si="1"/>
        <v/>
      </c>
    </row>
    <row r="37" spans="1:19" x14ac:dyDescent="0.25">
      <c r="A37" s="123" t="str">
        <f>(IF(Info!$B34&lt;&gt;"",Info!$B34,""))</f>
        <v/>
      </c>
      <c r="B37" s="124"/>
      <c r="C37" s="124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5" t="str">
        <f t="shared" si="0"/>
        <v/>
      </c>
      <c r="S37" s="126" t="str">
        <f t="shared" si="1"/>
        <v/>
      </c>
    </row>
    <row r="38" spans="1:19" x14ac:dyDescent="0.25">
      <c r="A38" s="123" t="str">
        <f>(IF(Info!$B35&lt;&gt;"",Info!$B35,""))</f>
        <v/>
      </c>
      <c r="B38" s="124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5" t="str">
        <f t="shared" ref="R38:R69" si="2">IF(COUNTA(B38:Q38)=0,"",SUM(B38:Q38))</f>
        <v/>
      </c>
      <c r="S38" s="126" t="str">
        <f t="shared" ref="S38:S69" si="3">IF(COUNTA(B38:Q38)=0,"",SUM(B38:Q38)/$R$4)</f>
        <v/>
      </c>
    </row>
    <row r="39" spans="1:19" x14ac:dyDescent="0.25">
      <c r="A39" s="123" t="str">
        <f>(IF(Info!$B36&lt;&gt;"",Info!$B36,""))</f>
        <v/>
      </c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5" t="str">
        <f t="shared" si="2"/>
        <v/>
      </c>
      <c r="S39" s="126" t="str">
        <f t="shared" si="3"/>
        <v/>
      </c>
    </row>
    <row r="40" spans="1:19" x14ac:dyDescent="0.25">
      <c r="A40" s="123" t="str">
        <f>(IF(Info!$B37&lt;&gt;"",Info!$B37,""))</f>
        <v/>
      </c>
      <c r="B40" s="124"/>
      <c r="C40" s="124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5" t="str">
        <f t="shared" si="2"/>
        <v/>
      </c>
      <c r="S40" s="126" t="str">
        <f t="shared" si="3"/>
        <v/>
      </c>
    </row>
    <row r="41" spans="1:19" x14ac:dyDescent="0.25">
      <c r="A41" s="123" t="str">
        <f>(IF(Info!$B38&lt;&gt;"",Info!$B38,""))</f>
        <v/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5" t="str">
        <f t="shared" si="2"/>
        <v/>
      </c>
      <c r="S41" s="126" t="str">
        <f t="shared" si="3"/>
        <v/>
      </c>
    </row>
    <row r="42" spans="1:19" x14ac:dyDescent="0.25">
      <c r="A42" s="123" t="str">
        <f>(IF(Info!$B39&lt;&gt;"",Info!$B39,""))</f>
        <v/>
      </c>
      <c r="B42" s="124"/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5" t="str">
        <f t="shared" si="2"/>
        <v/>
      </c>
      <c r="S42" s="126" t="str">
        <f t="shared" si="3"/>
        <v/>
      </c>
    </row>
    <row r="43" spans="1:19" x14ac:dyDescent="0.25">
      <c r="A43" s="123" t="str">
        <f>(IF(Info!$B40&lt;&gt;"",Info!$B40,""))</f>
        <v/>
      </c>
      <c r="B43" s="124"/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5" t="str">
        <f t="shared" si="2"/>
        <v/>
      </c>
      <c r="S43" s="126" t="str">
        <f t="shared" si="3"/>
        <v/>
      </c>
    </row>
    <row r="44" spans="1:19" x14ac:dyDescent="0.25">
      <c r="A44" s="123" t="str">
        <f>(IF(Info!$B41&lt;&gt;"",Info!$B41,""))</f>
        <v/>
      </c>
      <c r="B44" s="124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5" t="str">
        <f t="shared" si="2"/>
        <v/>
      </c>
      <c r="S44" s="126" t="str">
        <f t="shared" si="3"/>
        <v/>
      </c>
    </row>
    <row r="45" spans="1:19" x14ac:dyDescent="0.25">
      <c r="A45" s="123" t="str">
        <f>(IF(Info!$B42&lt;&gt;"",Info!$B42,""))</f>
        <v/>
      </c>
      <c r="B45" s="124"/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5" t="str">
        <f t="shared" si="2"/>
        <v/>
      </c>
      <c r="S45" s="126" t="str">
        <f t="shared" si="3"/>
        <v/>
      </c>
    </row>
    <row r="46" spans="1:19" x14ac:dyDescent="0.25">
      <c r="A46" s="123" t="str">
        <f>(IF(Info!$B43&lt;&gt;"",Info!$B43,""))</f>
        <v/>
      </c>
      <c r="B46" s="124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5" t="str">
        <f t="shared" si="2"/>
        <v/>
      </c>
      <c r="S46" s="126" t="str">
        <f t="shared" si="3"/>
        <v/>
      </c>
    </row>
    <row r="47" spans="1:19" x14ac:dyDescent="0.25">
      <c r="A47" s="123" t="str">
        <f>(IF(Info!$B44&lt;&gt;"",Info!$B44,""))</f>
        <v/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5" t="str">
        <f t="shared" si="2"/>
        <v/>
      </c>
      <c r="S47" s="126" t="str">
        <f t="shared" si="3"/>
        <v/>
      </c>
    </row>
    <row r="48" spans="1:19" x14ac:dyDescent="0.25">
      <c r="A48" s="123" t="str">
        <f>(IF(Info!$B45&lt;&gt;"",Info!$B45,""))</f>
        <v/>
      </c>
      <c r="B48" s="124"/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5" t="str">
        <f t="shared" si="2"/>
        <v/>
      </c>
      <c r="S48" s="126" t="str">
        <f t="shared" si="3"/>
        <v/>
      </c>
    </row>
    <row r="49" spans="1:19" x14ac:dyDescent="0.25">
      <c r="A49" s="123" t="str">
        <f>(IF(Info!$B46&lt;&gt;"",Info!$B46,""))</f>
        <v/>
      </c>
      <c r="B49" s="124"/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5" t="str">
        <f t="shared" si="2"/>
        <v/>
      </c>
      <c r="S49" s="126" t="str">
        <f t="shared" si="3"/>
        <v/>
      </c>
    </row>
    <row r="50" spans="1:19" x14ac:dyDescent="0.25">
      <c r="A50" s="123" t="str">
        <f>(IF(Info!$B47&lt;&gt;"",Info!$B47,""))</f>
        <v/>
      </c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5" t="str">
        <f t="shared" si="2"/>
        <v/>
      </c>
      <c r="S50" s="126" t="str">
        <f t="shared" si="3"/>
        <v/>
      </c>
    </row>
    <row r="51" spans="1:19" x14ac:dyDescent="0.25">
      <c r="A51" s="123" t="str">
        <f>(IF(Info!$B48&lt;&gt;"",Info!$B48,""))</f>
        <v/>
      </c>
      <c r="B51" s="124"/>
      <c r="C51" s="124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5" t="str">
        <f t="shared" si="2"/>
        <v/>
      </c>
      <c r="S51" s="126" t="str">
        <f t="shared" si="3"/>
        <v/>
      </c>
    </row>
    <row r="52" spans="1:19" x14ac:dyDescent="0.25">
      <c r="A52" s="127"/>
      <c r="B52" s="127"/>
      <c r="C52" s="1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127"/>
      <c r="R52" s="128" t="str">
        <f t="shared" si="2"/>
        <v/>
      </c>
      <c r="S52" s="129" t="str">
        <f t="shared" si="3"/>
        <v/>
      </c>
    </row>
    <row r="53" spans="1:19" x14ac:dyDescent="0.25">
      <c r="A53" s="127"/>
      <c r="B53" s="127"/>
      <c r="C53" s="1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  <c r="Q53" s="127"/>
      <c r="R53" s="128" t="str">
        <f t="shared" si="2"/>
        <v/>
      </c>
      <c r="S53" s="129" t="str">
        <f t="shared" si="3"/>
        <v/>
      </c>
    </row>
    <row r="54" spans="1:19" x14ac:dyDescent="0.25">
      <c r="A54" s="127"/>
      <c r="B54" s="127"/>
      <c r="C54" s="1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127"/>
      <c r="R54" s="128" t="str">
        <f t="shared" si="2"/>
        <v/>
      </c>
      <c r="S54" s="129" t="str">
        <f t="shared" si="3"/>
        <v/>
      </c>
    </row>
    <row r="55" spans="1:19" x14ac:dyDescent="0.25">
      <c r="A55" s="127"/>
      <c r="B55" s="127"/>
      <c r="C55" s="1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8" t="str">
        <f t="shared" si="2"/>
        <v/>
      </c>
      <c r="S55" s="129" t="str">
        <f t="shared" si="3"/>
        <v/>
      </c>
    </row>
    <row r="56" spans="1:19" x14ac:dyDescent="0.25">
      <c r="A56" s="127"/>
      <c r="B56" s="127"/>
      <c r="C56" s="127"/>
      <c r="D56" s="127"/>
      <c r="E56" s="127"/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7"/>
      <c r="Q56" s="127"/>
      <c r="R56" s="128" t="str">
        <f t="shared" si="2"/>
        <v/>
      </c>
      <c r="S56" s="129" t="str">
        <f t="shared" si="3"/>
        <v/>
      </c>
    </row>
    <row r="57" spans="1:19" x14ac:dyDescent="0.25">
      <c r="A57" s="127"/>
      <c r="B57" s="127"/>
      <c r="C57" s="127"/>
      <c r="D57" s="127"/>
      <c r="E57" s="127"/>
      <c r="F57" s="127"/>
      <c r="G57" s="127"/>
      <c r="H57" s="127"/>
      <c r="I57" s="127"/>
      <c r="J57" s="127"/>
      <c r="K57" s="127"/>
      <c r="L57" s="127"/>
      <c r="M57" s="127"/>
      <c r="N57" s="127"/>
      <c r="O57" s="127"/>
      <c r="P57" s="127"/>
      <c r="Q57" s="127"/>
      <c r="R57" s="128" t="str">
        <f t="shared" si="2"/>
        <v/>
      </c>
      <c r="S57" s="129" t="str">
        <f t="shared" si="3"/>
        <v/>
      </c>
    </row>
    <row r="58" spans="1:19" x14ac:dyDescent="0.25">
      <c r="A58" s="127"/>
      <c r="B58" s="127"/>
      <c r="C58" s="127"/>
      <c r="D58" s="127"/>
      <c r="E58" s="127"/>
      <c r="F58" s="127"/>
      <c r="G58" s="127"/>
      <c r="H58" s="127"/>
      <c r="I58" s="127"/>
      <c r="J58" s="127"/>
      <c r="K58" s="127"/>
      <c r="L58" s="127"/>
      <c r="M58" s="127"/>
      <c r="N58" s="127"/>
      <c r="O58" s="127"/>
      <c r="P58" s="127"/>
      <c r="Q58" s="127"/>
      <c r="R58" s="128" t="str">
        <f t="shared" si="2"/>
        <v/>
      </c>
      <c r="S58" s="129" t="str">
        <f t="shared" si="3"/>
        <v/>
      </c>
    </row>
    <row r="59" spans="1:19" x14ac:dyDescent="0.25">
      <c r="A59" s="127"/>
      <c r="B59" s="127"/>
      <c r="C59" s="127"/>
      <c r="D59" s="127"/>
      <c r="E59" s="127"/>
      <c r="F59" s="127"/>
      <c r="G59" s="127"/>
      <c r="H59" s="127"/>
      <c r="I59" s="127"/>
      <c r="J59" s="127"/>
      <c r="K59" s="127"/>
      <c r="L59" s="127"/>
      <c r="M59" s="127"/>
      <c r="N59" s="127"/>
      <c r="O59" s="127"/>
      <c r="P59" s="127"/>
      <c r="Q59" s="127"/>
      <c r="R59" s="128" t="str">
        <f t="shared" si="2"/>
        <v/>
      </c>
      <c r="S59" s="129" t="str">
        <f t="shared" si="3"/>
        <v/>
      </c>
    </row>
    <row r="60" spans="1:19" x14ac:dyDescent="0.25">
      <c r="A60" s="127"/>
      <c r="B60" s="127"/>
      <c r="C60" s="127"/>
      <c r="D60" s="127"/>
      <c r="E60" s="127"/>
      <c r="F60" s="127"/>
      <c r="G60" s="127"/>
      <c r="H60" s="127"/>
      <c r="I60" s="127"/>
      <c r="J60" s="127"/>
      <c r="K60" s="127"/>
      <c r="L60" s="127"/>
      <c r="M60" s="127"/>
      <c r="N60" s="127"/>
      <c r="O60" s="127"/>
      <c r="P60" s="127"/>
      <c r="Q60" s="127"/>
      <c r="R60" s="128" t="str">
        <f t="shared" si="2"/>
        <v/>
      </c>
      <c r="S60" s="129" t="str">
        <f t="shared" si="3"/>
        <v/>
      </c>
    </row>
    <row r="61" spans="1:19" x14ac:dyDescent="0.25">
      <c r="A61" s="127"/>
      <c r="B61" s="127"/>
      <c r="C61" s="127"/>
      <c r="D61" s="127"/>
      <c r="E61" s="127"/>
      <c r="F61" s="127"/>
      <c r="G61" s="127"/>
      <c r="H61" s="127"/>
      <c r="I61" s="127"/>
      <c r="J61" s="127"/>
      <c r="K61" s="127"/>
      <c r="L61" s="127"/>
      <c r="M61" s="127"/>
      <c r="N61" s="127"/>
      <c r="O61" s="127"/>
      <c r="P61" s="127"/>
      <c r="Q61" s="127"/>
      <c r="R61" s="128" t="str">
        <f t="shared" si="2"/>
        <v/>
      </c>
      <c r="S61" s="129" t="str">
        <f t="shared" si="3"/>
        <v/>
      </c>
    </row>
    <row r="62" spans="1:19" x14ac:dyDescent="0.25">
      <c r="A62" s="127"/>
      <c r="B62" s="127"/>
      <c r="C62" s="127"/>
      <c r="D62" s="127"/>
      <c r="E62" s="127"/>
      <c r="F62" s="127"/>
      <c r="G62" s="127"/>
      <c r="H62" s="127"/>
      <c r="I62" s="127"/>
      <c r="J62" s="127"/>
      <c r="K62" s="127"/>
      <c r="L62" s="127"/>
      <c r="M62" s="127"/>
      <c r="N62" s="127"/>
      <c r="O62" s="127"/>
      <c r="P62" s="127"/>
      <c r="Q62" s="127"/>
      <c r="R62" s="128" t="str">
        <f t="shared" si="2"/>
        <v/>
      </c>
      <c r="S62" s="129" t="str">
        <f t="shared" si="3"/>
        <v/>
      </c>
    </row>
    <row r="63" spans="1:19" x14ac:dyDescent="0.25">
      <c r="A63" s="127"/>
      <c r="B63" s="127"/>
      <c r="C63" s="127"/>
      <c r="D63" s="127"/>
      <c r="E63" s="127"/>
      <c r="F63" s="127"/>
      <c r="G63" s="127"/>
      <c r="H63" s="127"/>
      <c r="I63" s="127"/>
      <c r="J63" s="127"/>
      <c r="K63" s="127"/>
      <c r="L63" s="127"/>
      <c r="M63" s="127"/>
      <c r="N63" s="127"/>
      <c r="O63" s="127"/>
      <c r="P63" s="127"/>
      <c r="Q63" s="127"/>
      <c r="R63" s="128" t="str">
        <f t="shared" si="2"/>
        <v/>
      </c>
      <c r="S63" s="129" t="str">
        <f t="shared" si="3"/>
        <v/>
      </c>
    </row>
    <row r="64" spans="1:19" x14ac:dyDescent="0.25">
      <c r="A64" s="127"/>
      <c r="B64" s="127"/>
      <c r="C64" s="127"/>
      <c r="D64" s="127"/>
      <c r="E64" s="127"/>
      <c r="F64" s="127"/>
      <c r="G64" s="127"/>
      <c r="H64" s="127"/>
      <c r="I64" s="127"/>
      <c r="J64" s="127"/>
      <c r="K64" s="127"/>
      <c r="L64" s="127"/>
      <c r="M64" s="127"/>
      <c r="N64" s="127"/>
      <c r="O64" s="127"/>
      <c r="P64" s="127"/>
      <c r="Q64" s="127"/>
      <c r="R64" s="128" t="str">
        <f t="shared" si="2"/>
        <v/>
      </c>
      <c r="S64" s="129" t="str">
        <f t="shared" si="3"/>
        <v/>
      </c>
    </row>
    <row r="65" spans="1:19" x14ac:dyDescent="0.25">
      <c r="A65" s="127"/>
      <c r="B65" s="127"/>
      <c r="C65" s="127"/>
      <c r="D65" s="127"/>
      <c r="E65" s="127"/>
      <c r="F65" s="127"/>
      <c r="G65" s="127"/>
      <c r="H65" s="127"/>
      <c r="I65" s="127"/>
      <c r="J65" s="127"/>
      <c r="K65" s="127"/>
      <c r="L65" s="127"/>
      <c r="M65" s="127"/>
      <c r="N65" s="127"/>
      <c r="O65" s="127"/>
      <c r="P65" s="127"/>
      <c r="Q65" s="127"/>
      <c r="R65" s="128" t="str">
        <f t="shared" si="2"/>
        <v/>
      </c>
      <c r="S65" s="129" t="str">
        <f t="shared" si="3"/>
        <v/>
      </c>
    </row>
    <row r="66" spans="1:19" x14ac:dyDescent="0.25">
      <c r="A66" s="127"/>
      <c r="B66" s="127"/>
      <c r="C66" s="127"/>
      <c r="D66" s="127"/>
      <c r="E66" s="127"/>
      <c r="F66" s="127"/>
      <c r="G66" s="127"/>
      <c r="H66" s="127"/>
      <c r="I66" s="127"/>
      <c r="J66" s="127"/>
      <c r="K66" s="127"/>
      <c r="L66" s="127"/>
      <c r="M66" s="127"/>
      <c r="N66" s="127"/>
      <c r="O66" s="127"/>
      <c r="P66" s="127"/>
      <c r="Q66" s="127"/>
      <c r="R66" s="128" t="str">
        <f t="shared" si="2"/>
        <v/>
      </c>
      <c r="S66" s="129" t="str">
        <f t="shared" si="3"/>
        <v/>
      </c>
    </row>
    <row r="67" spans="1:19" x14ac:dyDescent="0.25">
      <c r="A67" s="127"/>
      <c r="B67" s="127"/>
      <c r="C67" s="127"/>
      <c r="D67" s="127"/>
      <c r="E67" s="127"/>
      <c r="F67" s="127"/>
      <c r="G67" s="127"/>
      <c r="H67" s="127"/>
      <c r="I67" s="127"/>
      <c r="J67" s="127"/>
      <c r="K67" s="127"/>
      <c r="L67" s="127"/>
      <c r="M67" s="127"/>
      <c r="N67" s="127"/>
      <c r="O67" s="127"/>
      <c r="P67" s="127"/>
      <c r="Q67" s="127"/>
      <c r="R67" s="128" t="str">
        <f t="shared" si="2"/>
        <v/>
      </c>
      <c r="S67" s="129" t="str">
        <f t="shared" si="3"/>
        <v/>
      </c>
    </row>
    <row r="68" spans="1:19" x14ac:dyDescent="0.25">
      <c r="A68" s="127"/>
      <c r="B68" s="127"/>
      <c r="C68" s="127"/>
      <c r="D68" s="127"/>
      <c r="E68" s="127"/>
      <c r="F68" s="127"/>
      <c r="G68" s="127"/>
      <c r="H68" s="127"/>
      <c r="I68" s="127"/>
      <c r="J68" s="127"/>
      <c r="K68" s="127"/>
      <c r="L68" s="127"/>
      <c r="M68" s="127"/>
      <c r="N68" s="127"/>
      <c r="O68" s="127"/>
      <c r="P68" s="127"/>
      <c r="Q68" s="127"/>
      <c r="R68" s="128" t="str">
        <f t="shared" si="2"/>
        <v/>
      </c>
      <c r="S68" s="129" t="str">
        <f t="shared" si="3"/>
        <v/>
      </c>
    </row>
    <row r="69" spans="1:19" x14ac:dyDescent="0.25">
      <c r="A69" s="127"/>
      <c r="B69" s="127"/>
      <c r="C69" s="127"/>
      <c r="D69" s="127"/>
      <c r="E69" s="127"/>
      <c r="F69" s="127"/>
      <c r="G69" s="127"/>
      <c r="H69" s="127"/>
      <c r="I69" s="127"/>
      <c r="J69" s="127"/>
      <c r="K69" s="127"/>
      <c r="L69" s="127"/>
      <c r="M69" s="127"/>
      <c r="N69" s="127"/>
      <c r="O69" s="127"/>
      <c r="P69" s="127"/>
      <c r="Q69" s="127"/>
      <c r="R69" s="128" t="str">
        <f t="shared" si="2"/>
        <v/>
      </c>
      <c r="S69" s="129" t="str">
        <f t="shared" si="3"/>
        <v/>
      </c>
    </row>
    <row r="70" spans="1:19" x14ac:dyDescent="0.25">
      <c r="A70" s="127"/>
      <c r="B70" s="127"/>
      <c r="C70" s="127"/>
      <c r="D70" s="127"/>
      <c r="E70" s="127"/>
      <c r="F70" s="127"/>
      <c r="G70" s="127"/>
      <c r="H70" s="127"/>
      <c r="I70" s="127"/>
      <c r="J70" s="127"/>
      <c r="K70" s="127"/>
      <c r="L70" s="127"/>
      <c r="M70" s="127"/>
      <c r="N70" s="127"/>
      <c r="O70" s="127"/>
      <c r="P70" s="127"/>
      <c r="Q70" s="127"/>
      <c r="R70" s="128" t="str">
        <f t="shared" ref="R70:R101" si="4">IF(COUNTA(B70:Q70)=0,"",SUM(B70:Q70))</f>
        <v/>
      </c>
      <c r="S70" s="129" t="str">
        <f t="shared" ref="S70:S101" si="5">IF(COUNTA(B70:Q70)=0,"",SUM(B70:Q70)/$R$4)</f>
        <v/>
      </c>
    </row>
    <row r="71" spans="1:19" x14ac:dyDescent="0.25">
      <c r="A71" s="127"/>
      <c r="B71" s="127"/>
      <c r="C71" s="127"/>
      <c r="D71" s="127"/>
      <c r="E71" s="127"/>
      <c r="F71" s="127"/>
      <c r="G71" s="127"/>
      <c r="H71" s="127"/>
      <c r="I71" s="127"/>
      <c r="J71" s="127"/>
      <c r="K71" s="127"/>
      <c r="L71" s="127"/>
      <c r="M71" s="127"/>
      <c r="N71" s="127"/>
      <c r="O71" s="127"/>
      <c r="P71" s="127"/>
      <c r="Q71" s="127"/>
      <c r="R71" s="128" t="str">
        <f t="shared" si="4"/>
        <v/>
      </c>
      <c r="S71" s="129" t="str">
        <f t="shared" si="5"/>
        <v/>
      </c>
    </row>
    <row r="72" spans="1:19" x14ac:dyDescent="0.25">
      <c r="A72" s="127"/>
      <c r="B72" s="127"/>
      <c r="C72" s="127"/>
      <c r="D72" s="127"/>
      <c r="E72" s="127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27"/>
      <c r="R72" s="128" t="str">
        <f t="shared" si="4"/>
        <v/>
      </c>
      <c r="S72" s="129" t="str">
        <f t="shared" si="5"/>
        <v/>
      </c>
    </row>
    <row r="73" spans="1:19" x14ac:dyDescent="0.25">
      <c r="A73" s="127"/>
      <c r="B73" s="127"/>
      <c r="C73" s="127"/>
      <c r="D73" s="127"/>
      <c r="E73" s="127"/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127"/>
      <c r="Q73" s="127"/>
      <c r="R73" s="128" t="str">
        <f t="shared" si="4"/>
        <v/>
      </c>
      <c r="S73" s="129" t="str">
        <f t="shared" si="5"/>
        <v/>
      </c>
    </row>
    <row r="74" spans="1:19" x14ac:dyDescent="0.25">
      <c r="A74" s="144"/>
      <c r="B74" s="127"/>
      <c r="C74" s="127"/>
      <c r="D74" s="127"/>
      <c r="E74" s="127"/>
      <c r="F74" s="127"/>
      <c r="G74" s="127"/>
      <c r="H74" s="127"/>
      <c r="I74" s="127"/>
      <c r="J74" s="127"/>
      <c r="K74" s="127"/>
      <c r="L74" s="127"/>
      <c r="M74" s="127"/>
      <c r="N74" s="127"/>
      <c r="O74" s="127"/>
      <c r="P74" s="127"/>
      <c r="Q74" s="127"/>
      <c r="R74" s="128" t="str">
        <f t="shared" si="4"/>
        <v/>
      </c>
      <c r="S74" s="129" t="str">
        <f t="shared" si="5"/>
        <v/>
      </c>
    </row>
    <row r="75" spans="1:19" x14ac:dyDescent="0.25">
      <c r="A75" s="130"/>
      <c r="B75" s="127"/>
      <c r="C75" s="127"/>
      <c r="D75" s="127"/>
      <c r="E75" s="127"/>
      <c r="F75" s="127"/>
      <c r="G75" s="127"/>
      <c r="H75" s="127"/>
      <c r="I75" s="127"/>
      <c r="J75" s="127"/>
      <c r="K75" s="127"/>
      <c r="L75" s="127"/>
      <c r="M75" s="127"/>
      <c r="N75" s="127"/>
      <c r="O75" s="127"/>
      <c r="P75" s="127"/>
      <c r="Q75" s="127"/>
      <c r="R75" s="128" t="str">
        <f t="shared" si="4"/>
        <v/>
      </c>
      <c r="S75" s="129" t="str">
        <f t="shared" si="5"/>
        <v/>
      </c>
    </row>
    <row r="76" spans="1:19" x14ac:dyDescent="0.25">
      <c r="A76" s="130"/>
      <c r="B76" s="127"/>
      <c r="C76" s="127"/>
      <c r="D76" s="127"/>
      <c r="E76" s="127"/>
      <c r="F76" s="127"/>
      <c r="G76" s="127"/>
      <c r="H76" s="127"/>
      <c r="I76" s="127"/>
      <c r="J76" s="127"/>
      <c r="K76" s="127"/>
      <c r="L76" s="127"/>
      <c r="M76" s="127"/>
      <c r="N76" s="127"/>
      <c r="O76" s="127"/>
      <c r="P76" s="127"/>
      <c r="Q76" s="127"/>
      <c r="R76" s="128" t="str">
        <f t="shared" si="4"/>
        <v/>
      </c>
      <c r="S76" s="129" t="str">
        <f t="shared" si="5"/>
        <v/>
      </c>
    </row>
    <row r="77" spans="1:19" x14ac:dyDescent="0.25">
      <c r="A77" s="127"/>
      <c r="B77" s="127"/>
      <c r="C77" s="127"/>
      <c r="D77" s="127"/>
      <c r="E77" s="127"/>
      <c r="F77" s="127"/>
      <c r="G77" s="127"/>
      <c r="H77" s="127"/>
      <c r="I77" s="127"/>
      <c r="J77" s="127"/>
      <c r="K77" s="127"/>
      <c r="L77" s="127"/>
      <c r="M77" s="127"/>
      <c r="N77" s="127"/>
      <c r="O77" s="127"/>
      <c r="P77" s="127"/>
      <c r="Q77" s="127"/>
      <c r="R77" s="128" t="str">
        <f t="shared" si="4"/>
        <v/>
      </c>
      <c r="S77" s="129" t="str">
        <f t="shared" si="5"/>
        <v/>
      </c>
    </row>
    <row r="78" spans="1:19" x14ac:dyDescent="0.25">
      <c r="A78" s="127"/>
      <c r="B78" s="127"/>
      <c r="C78" s="127"/>
      <c r="D78" s="127"/>
      <c r="E78" s="127"/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127"/>
      <c r="R78" s="128" t="str">
        <f t="shared" si="4"/>
        <v/>
      </c>
      <c r="S78" s="129" t="str">
        <f t="shared" si="5"/>
        <v/>
      </c>
    </row>
    <row r="79" spans="1:19" x14ac:dyDescent="0.25">
      <c r="A79" s="127"/>
      <c r="B79" s="127"/>
      <c r="C79" s="127"/>
      <c r="D79" s="127"/>
      <c r="E79" s="127"/>
      <c r="F79" s="127"/>
      <c r="G79" s="127"/>
      <c r="H79" s="127"/>
      <c r="I79" s="127"/>
      <c r="J79" s="127"/>
      <c r="K79" s="127"/>
      <c r="L79" s="127"/>
      <c r="M79" s="127"/>
      <c r="N79" s="127"/>
      <c r="O79" s="127"/>
      <c r="P79" s="127"/>
      <c r="Q79" s="127"/>
      <c r="R79" s="128" t="str">
        <f t="shared" si="4"/>
        <v/>
      </c>
      <c r="S79" s="129" t="str">
        <f t="shared" si="5"/>
        <v/>
      </c>
    </row>
    <row r="80" spans="1:19" x14ac:dyDescent="0.25">
      <c r="A80" s="127"/>
      <c r="B80" s="127"/>
      <c r="C80" s="127"/>
      <c r="D80" s="127"/>
      <c r="E80" s="127"/>
      <c r="F80" s="127"/>
      <c r="G80" s="127"/>
      <c r="H80" s="127"/>
      <c r="I80" s="127"/>
      <c r="J80" s="127"/>
      <c r="K80" s="127"/>
      <c r="L80" s="127"/>
      <c r="M80" s="127"/>
      <c r="N80" s="127"/>
      <c r="O80" s="127"/>
      <c r="P80" s="127"/>
      <c r="Q80" s="127"/>
      <c r="R80" s="128" t="str">
        <f t="shared" si="4"/>
        <v/>
      </c>
      <c r="S80" s="129" t="str">
        <f t="shared" si="5"/>
        <v/>
      </c>
    </row>
    <row r="81" spans="1:19" x14ac:dyDescent="0.25">
      <c r="A81" s="127"/>
      <c r="B81" s="127"/>
      <c r="C81" s="127"/>
      <c r="D81" s="127"/>
      <c r="E81" s="127"/>
      <c r="F81" s="127"/>
      <c r="G81" s="127"/>
      <c r="H81" s="127"/>
      <c r="I81" s="127"/>
      <c r="J81" s="127"/>
      <c r="K81" s="127"/>
      <c r="L81" s="127"/>
      <c r="M81" s="127"/>
      <c r="N81" s="127"/>
      <c r="O81" s="127"/>
      <c r="P81" s="127"/>
      <c r="Q81" s="127"/>
      <c r="R81" s="128" t="str">
        <f t="shared" si="4"/>
        <v/>
      </c>
      <c r="S81" s="129" t="str">
        <f t="shared" si="5"/>
        <v/>
      </c>
    </row>
    <row r="82" spans="1:19" x14ac:dyDescent="0.25">
      <c r="A82" s="127"/>
      <c r="B82" s="127"/>
      <c r="C82" s="127"/>
      <c r="D82" s="127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8" t="str">
        <f t="shared" si="4"/>
        <v/>
      </c>
      <c r="S82" s="129" t="str">
        <f t="shared" si="5"/>
        <v/>
      </c>
    </row>
    <row r="83" spans="1:19" x14ac:dyDescent="0.25">
      <c r="A83" s="127"/>
      <c r="B83" s="127"/>
      <c r="C83" s="127"/>
      <c r="D83" s="127"/>
      <c r="E83" s="127"/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127"/>
      <c r="Q83" s="127"/>
      <c r="R83" s="128" t="str">
        <f t="shared" si="4"/>
        <v/>
      </c>
      <c r="S83" s="129" t="str">
        <f t="shared" si="5"/>
        <v/>
      </c>
    </row>
    <row r="84" spans="1:19" x14ac:dyDescent="0.25">
      <c r="A84" s="127"/>
      <c r="B84" s="127"/>
      <c r="C84" s="127"/>
      <c r="D84" s="127"/>
      <c r="E84" s="127"/>
      <c r="F84" s="127"/>
      <c r="G84" s="127"/>
      <c r="H84" s="127"/>
      <c r="I84" s="127"/>
      <c r="J84" s="127"/>
      <c r="K84" s="127"/>
      <c r="L84" s="127"/>
      <c r="M84" s="127"/>
      <c r="N84" s="127"/>
      <c r="O84" s="127"/>
      <c r="P84" s="127"/>
      <c r="Q84" s="127"/>
      <c r="R84" s="128" t="str">
        <f t="shared" si="4"/>
        <v/>
      </c>
      <c r="S84" s="129" t="str">
        <f t="shared" si="5"/>
        <v/>
      </c>
    </row>
    <row r="85" spans="1:19" x14ac:dyDescent="0.25">
      <c r="A85" s="127"/>
      <c r="B85" s="127"/>
      <c r="C85" s="127"/>
      <c r="D85" s="127"/>
      <c r="E85" s="127"/>
      <c r="F85" s="127"/>
      <c r="G85" s="127"/>
      <c r="H85" s="127"/>
      <c r="I85" s="127"/>
      <c r="J85" s="127"/>
      <c r="K85" s="127"/>
      <c r="L85" s="127"/>
      <c r="M85" s="127"/>
      <c r="N85" s="127"/>
      <c r="O85" s="127"/>
      <c r="P85" s="127"/>
      <c r="Q85" s="127"/>
      <c r="R85" s="128" t="str">
        <f t="shared" si="4"/>
        <v/>
      </c>
      <c r="S85" s="129" t="str">
        <f t="shared" si="5"/>
        <v/>
      </c>
    </row>
    <row r="86" spans="1:19" x14ac:dyDescent="0.25">
      <c r="A86" s="127"/>
      <c r="B86" s="127"/>
      <c r="C86" s="127"/>
      <c r="D86" s="127"/>
      <c r="E86" s="127"/>
      <c r="F86" s="127"/>
      <c r="G86" s="127"/>
      <c r="H86" s="127"/>
      <c r="I86" s="127"/>
      <c r="J86" s="127"/>
      <c r="K86" s="127"/>
      <c r="L86" s="127"/>
      <c r="M86" s="127"/>
      <c r="N86" s="127"/>
      <c r="O86" s="127"/>
      <c r="P86" s="127"/>
      <c r="Q86" s="127"/>
      <c r="R86" s="128" t="str">
        <f t="shared" si="4"/>
        <v/>
      </c>
      <c r="S86" s="129" t="str">
        <f t="shared" si="5"/>
        <v/>
      </c>
    </row>
    <row r="87" spans="1:19" x14ac:dyDescent="0.25">
      <c r="A87" s="127"/>
      <c r="B87" s="127"/>
      <c r="C87" s="127"/>
      <c r="D87" s="127"/>
      <c r="E87" s="127"/>
      <c r="F87" s="127"/>
      <c r="G87" s="127"/>
      <c r="H87" s="127"/>
      <c r="I87" s="127"/>
      <c r="J87" s="127"/>
      <c r="K87" s="127"/>
      <c r="L87" s="127"/>
      <c r="M87" s="127"/>
      <c r="N87" s="127"/>
      <c r="O87" s="127"/>
      <c r="P87" s="127"/>
      <c r="Q87" s="127"/>
      <c r="R87" s="128" t="str">
        <f t="shared" si="4"/>
        <v/>
      </c>
      <c r="S87" s="129" t="str">
        <f t="shared" si="5"/>
        <v/>
      </c>
    </row>
    <row r="88" spans="1:19" x14ac:dyDescent="0.25">
      <c r="A88" s="127"/>
      <c r="B88" s="127"/>
      <c r="C88" s="127"/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27"/>
      <c r="R88" s="128" t="str">
        <f t="shared" si="4"/>
        <v/>
      </c>
      <c r="S88" s="129" t="str">
        <f t="shared" si="5"/>
        <v/>
      </c>
    </row>
    <row r="89" spans="1:19" x14ac:dyDescent="0.25">
      <c r="A89" s="127"/>
      <c r="B89" s="127"/>
      <c r="C89" s="127"/>
      <c r="D89" s="127"/>
      <c r="E89" s="127"/>
      <c r="F89" s="127"/>
      <c r="G89" s="127"/>
      <c r="H89" s="127"/>
      <c r="I89" s="127"/>
      <c r="J89" s="127"/>
      <c r="K89" s="127"/>
      <c r="L89" s="127"/>
      <c r="M89" s="127"/>
      <c r="N89" s="127"/>
      <c r="O89" s="127"/>
      <c r="P89" s="127"/>
      <c r="Q89" s="127"/>
      <c r="R89" s="128" t="str">
        <f t="shared" si="4"/>
        <v/>
      </c>
      <c r="S89" s="129" t="str">
        <f t="shared" si="5"/>
        <v/>
      </c>
    </row>
    <row r="90" spans="1:19" x14ac:dyDescent="0.25">
      <c r="A90" s="127"/>
      <c r="B90" s="127"/>
      <c r="C90" s="127"/>
      <c r="D90" s="127"/>
      <c r="E90" s="127"/>
      <c r="F90" s="127"/>
      <c r="G90" s="127"/>
      <c r="H90" s="127"/>
      <c r="I90" s="127"/>
      <c r="J90" s="127"/>
      <c r="K90" s="127"/>
      <c r="L90" s="127"/>
      <c r="M90" s="127"/>
      <c r="N90" s="127"/>
      <c r="O90" s="127"/>
      <c r="P90" s="127"/>
      <c r="Q90" s="127"/>
      <c r="R90" s="128" t="str">
        <f t="shared" si="4"/>
        <v/>
      </c>
      <c r="S90" s="129" t="str">
        <f t="shared" si="5"/>
        <v/>
      </c>
    </row>
    <row r="91" spans="1:19" x14ac:dyDescent="0.25">
      <c r="A91" s="127"/>
      <c r="B91" s="127"/>
      <c r="C91" s="127"/>
      <c r="D91" s="127"/>
      <c r="E91" s="127"/>
      <c r="F91" s="127"/>
      <c r="G91" s="127"/>
      <c r="H91" s="127"/>
      <c r="I91" s="127"/>
      <c r="J91" s="127"/>
      <c r="K91" s="127"/>
      <c r="L91" s="127"/>
      <c r="M91" s="127"/>
      <c r="N91" s="127"/>
      <c r="O91" s="127"/>
      <c r="P91" s="127"/>
      <c r="Q91" s="127"/>
      <c r="R91" s="128" t="str">
        <f t="shared" si="4"/>
        <v/>
      </c>
      <c r="S91" s="129" t="str">
        <f t="shared" si="5"/>
        <v/>
      </c>
    </row>
    <row r="92" spans="1:19" x14ac:dyDescent="0.25">
      <c r="A92" s="127"/>
      <c r="B92" s="127"/>
      <c r="C92" s="127"/>
      <c r="D92" s="127"/>
      <c r="E92" s="127"/>
      <c r="F92" s="127"/>
      <c r="G92" s="127"/>
      <c r="H92" s="127"/>
      <c r="I92" s="127"/>
      <c r="J92" s="127"/>
      <c r="K92" s="127"/>
      <c r="L92" s="127"/>
      <c r="M92" s="127"/>
      <c r="N92" s="127"/>
      <c r="O92" s="127"/>
      <c r="P92" s="127"/>
      <c r="Q92" s="127"/>
      <c r="R92" s="128" t="str">
        <f t="shared" si="4"/>
        <v/>
      </c>
      <c r="S92" s="129" t="str">
        <f t="shared" si="5"/>
        <v/>
      </c>
    </row>
    <row r="93" spans="1:19" x14ac:dyDescent="0.25">
      <c r="A93" s="127"/>
      <c r="B93" s="127"/>
      <c r="C93" s="127"/>
      <c r="D93" s="127"/>
      <c r="E93" s="127"/>
      <c r="F93" s="127"/>
      <c r="G93" s="127"/>
      <c r="H93" s="127"/>
      <c r="I93" s="127"/>
      <c r="J93" s="127"/>
      <c r="K93" s="127"/>
      <c r="L93" s="127"/>
      <c r="M93" s="127"/>
      <c r="N93" s="127"/>
      <c r="O93" s="127"/>
      <c r="P93" s="127"/>
      <c r="Q93" s="127"/>
      <c r="R93" s="128" t="str">
        <f t="shared" si="4"/>
        <v/>
      </c>
      <c r="S93" s="129" t="str">
        <f t="shared" si="5"/>
        <v/>
      </c>
    </row>
    <row r="94" spans="1:19" x14ac:dyDescent="0.25">
      <c r="A94" s="127"/>
      <c r="B94" s="127"/>
      <c r="C94" s="127"/>
      <c r="D94" s="127"/>
      <c r="E94" s="127"/>
      <c r="F94" s="127"/>
      <c r="G94" s="127"/>
      <c r="H94" s="127"/>
      <c r="I94" s="127"/>
      <c r="J94" s="127"/>
      <c r="K94" s="127"/>
      <c r="L94" s="127"/>
      <c r="M94" s="127"/>
      <c r="N94" s="127"/>
      <c r="O94" s="127"/>
      <c r="P94" s="127"/>
      <c r="Q94" s="127"/>
      <c r="R94" s="128" t="str">
        <f t="shared" si="4"/>
        <v/>
      </c>
      <c r="S94" s="129" t="str">
        <f t="shared" si="5"/>
        <v/>
      </c>
    </row>
    <row r="95" spans="1:19" x14ac:dyDescent="0.25">
      <c r="A95" s="127"/>
      <c r="B95" s="127"/>
      <c r="C95" s="127"/>
      <c r="D95" s="127"/>
      <c r="E95" s="127"/>
      <c r="F95" s="127"/>
      <c r="G95" s="127"/>
      <c r="H95" s="127"/>
      <c r="I95" s="127"/>
      <c r="J95" s="127"/>
      <c r="K95" s="127"/>
      <c r="L95" s="127"/>
      <c r="M95" s="127"/>
      <c r="N95" s="127"/>
      <c r="O95" s="127"/>
      <c r="P95" s="127"/>
      <c r="Q95" s="127"/>
      <c r="R95" s="128" t="str">
        <f t="shared" si="4"/>
        <v/>
      </c>
      <c r="S95" s="129" t="str">
        <f t="shared" si="5"/>
        <v/>
      </c>
    </row>
    <row r="96" spans="1:19" x14ac:dyDescent="0.25">
      <c r="A96" s="127"/>
      <c r="B96" s="127"/>
      <c r="C96" s="127"/>
      <c r="D96" s="127"/>
      <c r="E96" s="127"/>
      <c r="F96" s="127"/>
      <c r="G96" s="127"/>
      <c r="H96" s="127"/>
      <c r="I96" s="127"/>
      <c r="J96" s="127"/>
      <c r="K96" s="127"/>
      <c r="L96" s="127"/>
      <c r="M96" s="127"/>
      <c r="N96" s="127"/>
      <c r="O96" s="127"/>
      <c r="P96" s="127"/>
      <c r="Q96" s="127"/>
      <c r="R96" s="128" t="str">
        <f t="shared" si="4"/>
        <v/>
      </c>
      <c r="S96" s="129" t="str">
        <f t="shared" si="5"/>
        <v/>
      </c>
    </row>
    <row r="97" spans="1:19" x14ac:dyDescent="0.25">
      <c r="A97" s="127"/>
      <c r="B97" s="127"/>
      <c r="C97" s="127"/>
      <c r="D97" s="127"/>
      <c r="E97" s="127"/>
      <c r="F97" s="127"/>
      <c r="G97" s="127"/>
      <c r="H97" s="127"/>
      <c r="I97" s="127"/>
      <c r="J97" s="127"/>
      <c r="K97" s="127"/>
      <c r="L97" s="127"/>
      <c r="M97" s="127"/>
      <c r="N97" s="127"/>
      <c r="O97" s="127"/>
      <c r="P97" s="127"/>
      <c r="Q97" s="127"/>
      <c r="R97" s="128" t="str">
        <f t="shared" si="4"/>
        <v/>
      </c>
      <c r="S97" s="129" t="str">
        <f t="shared" si="5"/>
        <v/>
      </c>
    </row>
    <row r="98" spans="1:19" x14ac:dyDescent="0.25">
      <c r="A98" s="127"/>
      <c r="B98" s="127"/>
      <c r="C98" s="127"/>
      <c r="D98" s="127"/>
      <c r="E98" s="127"/>
      <c r="F98" s="127"/>
      <c r="G98" s="127"/>
      <c r="H98" s="127"/>
      <c r="I98" s="127"/>
      <c r="J98" s="127"/>
      <c r="K98" s="127"/>
      <c r="L98" s="127"/>
      <c r="M98" s="127"/>
      <c r="N98" s="127"/>
      <c r="O98" s="127"/>
      <c r="P98" s="127"/>
      <c r="Q98" s="127"/>
      <c r="R98" s="128" t="str">
        <f t="shared" si="4"/>
        <v/>
      </c>
      <c r="S98" s="129" t="str">
        <f t="shared" si="5"/>
        <v/>
      </c>
    </row>
    <row r="99" spans="1:19" x14ac:dyDescent="0.25">
      <c r="A99" s="127"/>
      <c r="B99" s="127"/>
      <c r="C99" s="127"/>
      <c r="D99" s="127"/>
      <c r="E99" s="127"/>
      <c r="F99" s="127"/>
      <c r="G99" s="127"/>
      <c r="H99" s="127"/>
      <c r="I99" s="127"/>
      <c r="J99" s="127"/>
      <c r="K99" s="127"/>
      <c r="L99" s="127"/>
      <c r="M99" s="127"/>
      <c r="N99" s="127"/>
      <c r="O99" s="127"/>
      <c r="P99" s="127"/>
      <c r="Q99" s="127"/>
      <c r="R99" s="128" t="str">
        <f t="shared" si="4"/>
        <v/>
      </c>
      <c r="S99" s="129" t="str">
        <f t="shared" si="5"/>
        <v/>
      </c>
    </row>
    <row r="100" spans="1:19" x14ac:dyDescent="0.25">
      <c r="A100" s="127"/>
      <c r="B100" s="127"/>
      <c r="C100" s="127"/>
      <c r="D100" s="127"/>
      <c r="E100" s="127"/>
      <c r="F100" s="127"/>
      <c r="G100" s="127"/>
      <c r="H100" s="127"/>
      <c r="I100" s="127"/>
      <c r="J100" s="127"/>
      <c r="K100" s="127"/>
      <c r="L100" s="127"/>
      <c r="M100" s="127"/>
      <c r="N100" s="127"/>
      <c r="O100" s="127"/>
      <c r="P100" s="127"/>
      <c r="Q100" s="127"/>
      <c r="R100" s="128" t="str">
        <f t="shared" si="4"/>
        <v/>
      </c>
      <c r="S100" s="129" t="str">
        <f t="shared" si="5"/>
        <v/>
      </c>
    </row>
    <row r="101" spans="1:19" x14ac:dyDescent="0.25">
      <c r="A101" s="127"/>
      <c r="B101" s="127"/>
      <c r="C101" s="127"/>
      <c r="D101" s="127"/>
      <c r="E101" s="127"/>
      <c r="F101" s="127"/>
      <c r="G101" s="127"/>
      <c r="H101" s="127"/>
      <c r="I101" s="127"/>
      <c r="J101" s="127"/>
      <c r="K101" s="127"/>
      <c r="L101" s="127"/>
      <c r="M101" s="127"/>
      <c r="N101" s="127"/>
      <c r="O101" s="127"/>
      <c r="P101" s="127"/>
      <c r="Q101" s="127"/>
      <c r="R101" s="128" t="str">
        <f t="shared" si="4"/>
        <v/>
      </c>
      <c r="S101" s="129" t="str">
        <f t="shared" si="5"/>
        <v/>
      </c>
    </row>
    <row r="102" spans="1:19" x14ac:dyDescent="0.25">
      <c r="A102" s="127"/>
      <c r="B102" s="127"/>
      <c r="C102" s="127"/>
      <c r="D102" s="127"/>
      <c r="E102" s="127"/>
      <c r="F102" s="127"/>
      <c r="G102" s="127"/>
      <c r="H102" s="127"/>
      <c r="I102" s="127"/>
      <c r="J102" s="127"/>
      <c r="K102" s="127"/>
      <c r="L102" s="127"/>
      <c r="M102" s="127"/>
      <c r="N102" s="127"/>
      <c r="O102" s="127"/>
      <c r="P102" s="127"/>
      <c r="Q102" s="127"/>
      <c r="R102" s="128" t="str">
        <f t="shared" ref="R102:R133" si="6">IF(COUNTA(B102:Q102)=0,"",SUM(B102:Q102))</f>
        <v/>
      </c>
      <c r="S102" s="129" t="str">
        <f t="shared" ref="S102:S133" si="7">IF(COUNTA(B102:Q102)=0,"",SUM(B102:Q102)/$R$4)</f>
        <v/>
      </c>
    </row>
    <row r="103" spans="1:19" x14ac:dyDescent="0.25">
      <c r="A103" s="127"/>
      <c r="B103" s="127"/>
      <c r="C103" s="127"/>
      <c r="D103" s="127"/>
      <c r="E103" s="127"/>
      <c r="F103" s="127"/>
      <c r="G103" s="127"/>
      <c r="H103" s="127"/>
      <c r="I103" s="127"/>
      <c r="J103" s="127"/>
      <c r="K103" s="127"/>
      <c r="L103" s="127"/>
      <c r="M103" s="127"/>
      <c r="N103" s="127"/>
      <c r="O103" s="127"/>
      <c r="P103" s="127"/>
      <c r="Q103" s="127"/>
      <c r="R103" s="128" t="str">
        <f t="shared" si="6"/>
        <v/>
      </c>
      <c r="S103" s="129" t="str">
        <f t="shared" si="7"/>
        <v/>
      </c>
    </row>
    <row r="104" spans="1:19" x14ac:dyDescent="0.25">
      <c r="A104" s="127"/>
      <c r="B104" s="127"/>
      <c r="C104" s="127"/>
      <c r="D104" s="127"/>
      <c r="E104" s="127"/>
      <c r="F104" s="127"/>
      <c r="G104" s="127"/>
      <c r="H104" s="127"/>
      <c r="I104" s="127"/>
      <c r="J104" s="127"/>
      <c r="K104" s="127"/>
      <c r="L104" s="127"/>
      <c r="M104" s="127"/>
      <c r="N104" s="127"/>
      <c r="O104" s="127"/>
      <c r="P104" s="127"/>
      <c r="Q104" s="127"/>
      <c r="R104" s="128" t="str">
        <f t="shared" si="6"/>
        <v/>
      </c>
      <c r="S104" s="129" t="str">
        <f t="shared" si="7"/>
        <v/>
      </c>
    </row>
    <row r="105" spans="1:19" x14ac:dyDescent="0.25">
      <c r="A105" s="127"/>
      <c r="B105" s="127"/>
      <c r="C105" s="127"/>
      <c r="D105" s="127"/>
      <c r="E105" s="127"/>
      <c r="F105" s="127"/>
      <c r="G105" s="127"/>
      <c r="H105" s="127"/>
      <c r="I105" s="127"/>
      <c r="J105" s="127"/>
      <c r="K105" s="127"/>
      <c r="L105" s="127"/>
      <c r="M105" s="127"/>
      <c r="N105" s="127"/>
      <c r="O105" s="127"/>
      <c r="P105" s="127"/>
      <c r="Q105" s="127"/>
      <c r="R105" s="128" t="str">
        <f t="shared" si="6"/>
        <v/>
      </c>
      <c r="S105" s="129" t="str">
        <f t="shared" si="7"/>
        <v/>
      </c>
    </row>
    <row r="106" spans="1:19" x14ac:dyDescent="0.25">
      <c r="A106" s="127"/>
      <c r="B106" s="127"/>
      <c r="C106" s="127"/>
      <c r="D106" s="127"/>
      <c r="E106" s="127"/>
      <c r="F106" s="127"/>
      <c r="G106" s="127"/>
      <c r="H106" s="127"/>
      <c r="I106" s="127"/>
      <c r="J106" s="127"/>
      <c r="K106" s="127"/>
      <c r="L106" s="127"/>
      <c r="M106" s="127"/>
      <c r="N106" s="127"/>
      <c r="O106" s="127"/>
      <c r="P106" s="127"/>
      <c r="Q106" s="127"/>
      <c r="R106" s="128" t="str">
        <f t="shared" si="6"/>
        <v/>
      </c>
      <c r="S106" s="129" t="str">
        <f t="shared" si="7"/>
        <v/>
      </c>
    </row>
    <row r="107" spans="1:19" x14ac:dyDescent="0.25">
      <c r="A107" s="127"/>
      <c r="B107" s="127"/>
      <c r="C107" s="127"/>
      <c r="D107" s="127"/>
      <c r="E107" s="127"/>
      <c r="F107" s="127"/>
      <c r="G107" s="127"/>
      <c r="H107" s="127"/>
      <c r="I107" s="127"/>
      <c r="J107" s="127"/>
      <c r="K107" s="127"/>
      <c r="L107" s="127"/>
      <c r="M107" s="127"/>
      <c r="N107" s="127"/>
      <c r="O107" s="127"/>
      <c r="P107" s="127"/>
      <c r="Q107" s="127"/>
      <c r="R107" s="128" t="str">
        <f t="shared" si="6"/>
        <v/>
      </c>
      <c r="S107" s="129" t="str">
        <f t="shared" si="7"/>
        <v/>
      </c>
    </row>
    <row r="108" spans="1:19" x14ac:dyDescent="0.25">
      <c r="A108" s="127"/>
      <c r="B108" s="127"/>
      <c r="C108" s="127"/>
      <c r="D108" s="127"/>
      <c r="E108" s="127"/>
      <c r="F108" s="127"/>
      <c r="G108" s="127"/>
      <c r="H108" s="127"/>
      <c r="I108" s="127"/>
      <c r="J108" s="127"/>
      <c r="K108" s="127"/>
      <c r="L108" s="127"/>
      <c r="M108" s="127"/>
      <c r="N108" s="127"/>
      <c r="O108" s="127"/>
      <c r="P108" s="127"/>
      <c r="Q108" s="127"/>
      <c r="R108" s="128" t="str">
        <f t="shared" si="6"/>
        <v/>
      </c>
      <c r="S108" s="129" t="str">
        <f t="shared" si="7"/>
        <v/>
      </c>
    </row>
    <row r="109" spans="1:19" x14ac:dyDescent="0.25">
      <c r="A109" s="127"/>
      <c r="B109" s="127"/>
      <c r="C109" s="127"/>
      <c r="D109" s="127"/>
      <c r="E109" s="127"/>
      <c r="F109" s="127"/>
      <c r="G109" s="127"/>
      <c r="H109" s="127"/>
      <c r="I109" s="127"/>
      <c r="J109" s="127"/>
      <c r="K109" s="127"/>
      <c r="L109" s="127"/>
      <c r="M109" s="127"/>
      <c r="N109" s="127"/>
      <c r="O109" s="127"/>
      <c r="P109" s="127"/>
      <c r="Q109" s="127"/>
      <c r="R109" s="128" t="str">
        <f t="shared" si="6"/>
        <v/>
      </c>
      <c r="S109" s="129" t="str">
        <f t="shared" si="7"/>
        <v/>
      </c>
    </row>
    <row r="110" spans="1:19" x14ac:dyDescent="0.25">
      <c r="A110" s="127"/>
      <c r="B110" s="127"/>
      <c r="C110" s="127"/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7"/>
      <c r="P110" s="127"/>
      <c r="Q110" s="127"/>
      <c r="R110" s="128" t="str">
        <f t="shared" si="6"/>
        <v/>
      </c>
      <c r="S110" s="129" t="str">
        <f t="shared" si="7"/>
        <v/>
      </c>
    </row>
    <row r="111" spans="1:19" x14ac:dyDescent="0.25">
      <c r="A111" s="127"/>
      <c r="B111" s="127"/>
      <c r="C111" s="127"/>
      <c r="D111" s="127"/>
      <c r="E111" s="127"/>
      <c r="F111" s="127"/>
      <c r="G111" s="127"/>
      <c r="H111" s="127"/>
      <c r="I111" s="127"/>
      <c r="J111" s="127"/>
      <c r="K111" s="127"/>
      <c r="L111" s="127"/>
      <c r="M111" s="127"/>
      <c r="N111" s="127"/>
      <c r="O111" s="127"/>
      <c r="P111" s="127"/>
      <c r="Q111" s="127"/>
      <c r="R111" s="128" t="str">
        <f t="shared" si="6"/>
        <v/>
      </c>
      <c r="S111" s="129" t="str">
        <f t="shared" si="7"/>
        <v/>
      </c>
    </row>
    <row r="112" spans="1:19" x14ac:dyDescent="0.25">
      <c r="A112" s="127"/>
      <c r="B112" s="127"/>
      <c r="C112" s="127"/>
      <c r="D112" s="127"/>
      <c r="E112" s="127"/>
      <c r="F112" s="127"/>
      <c r="G112" s="127"/>
      <c r="H112" s="127"/>
      <c r="I112" s="127"/>
      <c r="J112" s="127"/>
      <c r="K112" s="127"/>
      <c r="L112" s="127"/>
      <c r="M112" s="127"/>
      <c r="N112" s="127"/>
      <c r="O112" s="127"/>
      <c r="P112" s="127"/>
      <c r="Q112" s="127"/>
      <c r="R112" s="128" t="str">
        <f t="shared" si="6"/>
        <v/>
      </c>
      <c r="S112" s="129" t="str">
        <f t="shared" si="7"/>
        <v/>
      </c>
    </row>
    <row r="113" spans="1:19" x14ac:dyDescent="0.25">
      <c r="A113" s="127"/>
      <c r="B113" s="127"/>
      <c r="C113" s="127"/>
      <c r="D113" s="127"/>
      <c r="E113" s="127"/>
      <c r="F113" s="127"/>
      <c r="G113" s="127"/>
      <c r="H113" s="127"/>
      <c r="I113" s="127"/>
      <c r="J113" s="127"/>
      <c r="K113" s="127"/>
      <c r="L113" s="127"/>
      <c r="M113" s="127"/>
      <c r="N113" s="127"/>
      <c r="O113" s="127"/>
      <c r="P113" s="127"/>
      <c r="Q113" s="127"/>
      <c r="R113" s="128" t="str">
        <f t="shared" si="6"/>
        <v/>
      </c>
      <c r="S113" s="129" t="str">
        <f t="shared" si="7"/>
        <v/>
      </c>
    </row>
    <row r="114" spans="1:19" x14ac:dyDescent="0.25">
      <c r="A114" s="127"/>
      <c r="B114" s="127"/>
      <c r="C114" s="127"/>
      <c r="D114" s="127"/>
      <c r="E114" s="127"/>
      <c r="F114" s="127"/>
      <c r="G114" s="127"/>
      <c r="H114" s="127"/>
      <c r="I114" s="127"/>
      <c r="J114" s="127"/>
      <c r="K114" s="127"/>
      <c r="L114" s="127"/>
      <c r="M114" s="127"/>
      <c r="N114" s="127"/>
      <c r="O114" s="127"/>
      <c r="P114" s="127"/>
      <c r="Q114" s="127"/>
      <c r="R114" s="128" t="str">
        <f t="shared" si="6"/>
        <v/>
      </c>
      <c r="S114" s="129" t="str">
        <f t="shared" si="7"/>
        <v/>
      </c>
    </row>
    <row r="115" spans="1:19" x14ac:dyDescent="0.25">
      <c r="A115" s="127"/>
      <c r="B115" s="127"/>
      <c r="C115" s="127"/>
      <c r="D115" s="127"/>
      <c r="E115" s="127"/>
      <c r="F115" s="127"/>
      <c r="G115" s="127"/>
      <c r="H115" s="127"/>
      <c r="I115" s="127"/>
      <c r="J115" s="127"/>
      <c r="K115" s="127"/>
      <c r="L115" s="127"/>
      <c r="M115" s="127"/>
      <c r="N115" s="127"/>
      <c r="O115" s="127"/>
      <c r="P115" s="127"/>
      <c r="Q115" s="127"/>
      <c r="R115" s="128" t="str">
        <f t="shared" si="6"/>
        <v/>
      </c>
      <c r="S115" s="129" t="str">
        <f t="shared" si="7"/>
        <v/>
      </c>
    </row>
    <row r="116" spans="1:19" x14ac:dyDescent="0.25">
      <c r="A116" s="127"/>
      <c r="B116" s="12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  <c r="M116" s="127"/>
      <c r="N116" s="127"/>
      <c r="O116" s="127"/>
      <c r="P116" s="127"/>
      <c r="Q116" s="127"/>
      <c r="R116" s="128" t="str">
        <f t="shared" si="6"/>
        <v/>
      </c>
      <c r="S116" s="129" t="str">
        <f t="shared" si="7"/>
        <v/>
      </c>
    </row>
    <row r="117" spans="1:19" x14ac:dyDescent="0.25">
      <c r="A117" s="127"/>
      <c r="B117" s="127"/>
      <c r="C117" s="127"/>
      <c r="D117" s="127"/>
      <c r="E117" s="127"/>
      <c r="F117" s="127"/>
      <c r="G117" s="127"/>
      <c r="H117" s="127"/>
      <c r="I117" s="127"/>
      <c r="J117" s="127"/>
      <c r="K117" s="127"/>
      <c r="L117" s="127"/>
      <c r="M117" s="127"/>
      <c r="N117" s="127"/>
      <c r="O117" s="127"/>
      <c r="P117" s="127"/>
      <c r="Q117" s="127"/>
      <c r="R117" s="128" t="str">
        <f t="shared" si="6"/>
        <v/>
      </c>
      <c r="S117" s="129" t="str">
        <f t="shared" si="7"/>
        <v/>
      </c>
    </row>
    <row r="118" spans="1:19" x14ac:dyDescent="0.25">
      <c r="A118" s="127"/>
      <c r="B118" s="127"/>
      <c r="C118" s="127"/>
      <c r="D118" s="127"/>
      <c r="E118" s="127"/>
      <c r="F118" s="127"/>
      <c r="G118" s="127"/>
      <c r="H118" s="127"/>
      <c r="I118" s="127"/>
      <c r="J118" s="127"/>
      <c r="K118" s="127"/>
      <c r="L118" s="127"/>
      <c r="M118" s="127"/>
      <c r="N118" s="127"/>
      <c r="O118" s="127"/>
      <c r="P118" s="127"/>
      <c r="Q118" s="127"/>
      <c r="R118" s="128" t="str">
        <f t="shared" si="6"/>
        <v/>
      </c>
      <c r="S118" s="129" t="str">
        <f t="shared" si="7"/>
        <v/>
      </c>
    </row>
    <row r="119" spans="1:19" x14ac:dyDescent="0.25">
      <c r="A119" s="127"/>
      <c r="B119" s="127"/>
      <c r="C119" s="127"/>
      <c r="D119" s="127"/>
      <c r="E119" s="127"/>
      <c r="F119" s="127"/>
      <c r="G119" s="127"/>
      <c r="H119" s="127"/>
      <c r="I119" s="127"/>
      <c r="J119" s="127"/>
      <c r="K119" s="127"/>
      <c r="L119" s="127"/>
      <c r="M119" s="127"/>
      <c r="N119" s="127"/>
      <c r="O119" s="127"/>
      <c r="P119" s="127"/>
      <c r="Q119" s="127"/>
      <c r="R119" s="128" t="str">
        <f t="shared" si="6"/>
        <v/>
      </c>
      <c r="S119" s="129" t="str">
        <f t="shared" si="7"/>
        <v/>
      </c>
    </row>
    <row r="120" spans="1:19" x14ac:dyDescent="0.25">
      <c r="A120" s="127"/>
      <c r="B120" s="127"/>
      <c r="C120" s="127"/>
      <c r="D120" s="127"/>
      <c r="E120" s="127"/>
      <c r="F120" s="127"/>
      <c r="G120" s="127"/>
      <c r="H120" s="127"/>
      <c r="I120" s="127"/>
      <c r="J120" s="127"/>
      <c r="K120" s="127"/>
      <c r="L120" s="127"/>
      <c r="M120" s="127"/>
      <c r="N120" s="127"/>
      <c r="O120" s="127"/>
      <c r="P120" s="127"/>
      <c r="Q120" s="127"/>
      <c r="R120" s="128" t="str">
        <f t="shared" si="6"/>
        <v/>
      </c>
      <c r="S120" s="129" t="str">
        <f t="shared" si="7"/>
        <v/>
      </c>
    </row>
    <row r="121" spans="1:19" x14ac:dyDescent="0.25">
      <c r="A121" s="127"/>
      <c r="B121" s="127"/>
      <c r="C121" s="127"/>
      <c r="D121" s="127"/>
      <c r="E121" s="127"/>
      <c r="F121" s="127"/>
      <c r="G121" s="127"/>
      <c r="H121" s="127"/>
      <c r="I121" s="127"/>
      <c r="J121" s="127"/>
      <c r="K121" s="127"/>
      <c r="L121" s="127"/>
      <c r="M121" s="127"/>
      <c r="N121" s="127"/>
      <c r="O121" s="127"/>
      <c r="P121" s="127"/>
      <c r="Q121" s="127"/>
      <c r="R121" s="128" t="str">
        <f t="shared" si="6"/>
        <v/>
      </c>
      <c r="S121" s="129" t="str">
        <f t="shared" si="7"/>
        <v/>
      </c>
    </row>
    <row r="122" spans="1:19" x14ac:dyDescent="0.25">
      <c r="A122" s="127"/>
      <c r="B122" s="127"/>
      <c r="C122" s="127"/>
      <c r="D122" s="127"/>
      <c r="E122" s="127"/>
      <c r="F122" s="127"/>
      <c r="G122" s="127"/>
      <c r="H122" s="127"/>
      <c r="I122" s="127"/>
      <c r="J122" s="127"/>
      <c r="K122" s="127"/>
      <c r="L122" s="127"/>
      <c r="M122" s="127"/>
      <c r="N122" s="127"/>
      <c r="O122" s="127"/>
      <c r="P122" s="127"/>
      <c r="Q122" s="127"/>
      <c r="R122" s="128" t="str">
        <f t="shared" si="6"/>
        <v/>
      </c>
      <c r="S122" s="129" t="str">
        <f t="shared" si="7"/>
        <v/>
      </c>
    </row>
    <row r="123" spans="1:19" x14ac:dyDescent="0.25">
      <c r="A123" s="127"/>
      <c r="B123" s="127"/>
      <c r="C123" s="127"/>
      <c r="D123" s="127"/>
      <c r="E123" s="127"/>
      <c r="F123" s="127"/>
      <c r="G123" s="127"/>
      <c r="H123" s="127"/>
      <c r="I123" s="127"/>
      <c r="J123" s="127"/>
      <c r="K123" s="127"/>
      <c r="L123" s="127"/>
      <c r="M123" s="127"/>
      <c r="N123" s="127"/>
      <c r="O123" s="127"/>
      <c r="P123" s="127"/>
      <c r="Q123" s="127"/>
      <c r="R123" s="128" t="str">
        <f t="shared" si="6"/>
        <v/>
      </c>
      <c r="S123" s="129" t="str">
        <f t="shared" si="7"/>
        <v/>
      </c>
    </row>
    <row r="124" spans="1:19" x14ac:dyDescent="0.25">
      <c r="A124" s="127"/>
      <c r="B124" s="127"/>
      <c r="C124" s="127"/>
      <c r="D124" s="127"/>
      <c r="E124" s="127"/>
      <c r="F124" s="127"/>
      <c r="G124" s="127"/>
      <c r="H124" s="127"/>
      <c r="I124" s="127"/>
      <c r="J124" s="127"/>
      <c r="K124" s="127"/>
      <c r="L124" s="127"/>
      <c r="M124" s="127"/>
      <c r="N124" s="127"/>
      <c r="O124" s="127"/>
      <c r="P124" s="127"/>
      <c r="Q124" s="127"/>
      <c r="R124" s="128" t="str">
        <f t="shared" si="6"/>
        <v/>
      </c>
      <c r="S124" s="129" t="str">
        <f t="shared" si="7"/>
        <v/>
      </c>
    </row>
    <row r="125" spans="1:19" x14ac:dyDescent="0.25">
      <c r="A125" s="127"/>
      <c r="B125" s="127"/>
      <c r="C125" s="127"/>
      <c r="D125" s="127"/>
      <c r="E125" s="127"/>
      <c r="F125" s="127"/>
      <c r="G125" s="127"/>
      <c r="H125" s="127"/>
      <c r="I125" s="127"/>
      <c r="J125" s="127"/>
      <c r="K125" s="127"/>
      <c r="L125" s="127"/>
      <c r="M125" s="127"/>
      <c r="N125" s="127"/>
      <c r="O125" s="127"/>
      <c r="P125" s="127"/>
      <c r="Q125" s="127"/>
      <c r="R125" s="128" t="str">
        <f t="shared" si="6"/>
        <v/>
      </c>
      <c r="S125" s="129" t="str">
        <f t="shared" si="7"/>
        <v/>
      </c>
    </row>
    <row r="126" spans="1:19" x14ac:dyDescent="0.25">
      <c r="A126" s="127"/>
      <c r="B126" s="127"/>
      <c r="C126" s="127"/>
      <c r="D126" s="127"/>
      <c r="E126" s="127"/>
      <c r="F126" s="127"/>
      <c r="G126" s="127"/>
      <c r="H126" s="127"/>
      <c r="I126" s="127"/>
      <c r="J126" s="127"/>
      <c r="K126" s="127"/>
      <c r="L126" s="127"/>
      <c r="M126" s="127"/>
      <c r="N126" s="127"/>
      <c r="O126" s="127"/>
      <c r="P126" s="127"/>
      <c r="Q126" s="127"/>
      <c r="R126" s="128" t="str">
        <f t="shared" si="6"/>
        <v/>
      </c>
      <c r="S126" s="129" t="str">
        <f t="shared" si="7"/>
        <v/>
      </c>
    </row>
    <row r="127" spans="1:19" x14ac:dyDescent="0.25">
      <c r="A127" s="127"/>
      <c r="B127" s="127"/>
      <c r="C127" s="127"/>
      <c r="D127" s="127"/>
      <c r="E127" s="127"/>
      <c r="F127" s="127"/>
      <c r="G127" s="127"/>
      <c r="H127" s="127"/>
      <c r="I127" s="127"/>
      <c r="J127" s="127"/>
      <c r="K127" s="127"/>
      <c r="L127" s="127"/>
      <c r="M127" s="127"/>
      <c r="N127" s="127"/>
      <c r="O127" s="127"/>
      <c r="P127" s="127"/>
      <c r="Q127" s="127"/>
      <c r="R127" s="128" t="str">
        <f t="shared" si="6"/>
        <v/>
      </c>
      <c r="S127" s="129" t="str">
        <f t="shared" si="7"/>
        <v/>
      </c>
    </row>
    <row r="128" spans="1:19" x14ac:dyDescent="0.25">
      <c r="A128" s="127"/>
      <c r="B128" s="127"/>
      <c r="C128" s="127"/>
      <c r="D128" s="127"/>
      <c r="E128" s="127"/>
      <c r="F128" s="127"/>
      <c r="G128" s="127"/>
      <c r="H128" s="127"/>
      <c r="I128" s="127"/>
      <c r="J128" s="127"/>
      <c r="K128" s="127"/>
      <c r="L128" s="127"/>
      <c r="M128" s="127"/>
      <c r="N128" s="127"/>
      <c r="O128" s="127"/>
      <c r="P128" s="127"/>
      <c r="Q128" s="127"/>
      <c r="R128" s="128" t="str">
        <f t="shared" si="6"/>
        <v/>
      </c>
      <c r="S128" s="129" t="str">
        <f t="shared" si="7"/>
        <v/>
      </c>
    </row>
    <row r="129" spans="1:19" x14ac:dyDescent="0.25">
      <c r="A129" s="127"/>
      <c r="B129" s="127"/>
      <c r="C129" s="127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8" t="str">
        <f t="shared" si="6"/>
        <v/>
      </c>
      <c r="S129" s="129" t="str">
        <f t="shared" si="7"/>
        <v/>
      </c>
    </row>
    <row r="130" spans="1:19" x14ac:dyDescent="0.25">
      <c r="A130" s="127"/>
      <c r="B130" s="127"/>
      <c r="C130" s="127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8" t="str">
        <f t="shared" si="6"/>
        <v/>
      </c>
      <c r="S130" s="129" t="str">
        <f t="shared" si="7"/>
        <v/>
      </c>
    </row>
    <row r="131" spans="1:19" x14ac:dyDescent="0.25">
      <c r="A131" s="127"/>
      <c r="B131" s="127"/>
      <c r="C131" s="127"/>
      <c r="D131" s="127"/>
      <c r="E131" s="127"/>
      <c r="F131" s="127"/>
      <c r="G131" s="127"/>
      <c r="H131" s="127"/>
      <c r="I131" s="127"/>
      <c r="J131" s="127"/>
      <c r="K131" s="127"/>
      <c r="L131" s="127"/>
      <c r="M131" s="127"/>
      <c r="N131" s="127"/>
      <c r="O131" s="127"/>
      <c r="P131" s="127"/>
      <c r="Q131" s="127"/>
      <c r="R131" s="128" t="str">
        <f t="shared" si="6"/>
        <v/>
      </c>
      <c r="S131" s="129" t="str">
        <f t="shared" si="7"/>
        <v/>
      </c>
    </row>
    <row r="132" spans="1:19" x14ac:dyDescent="0.25">
      <c r="A132" s="127"/>
      <c r="B132" s="127"/>
      <c r="C132" s="127"/>
      <c r="D132" s="127"/>
      <c r="E132" s="127"/>
      <c r="F132" s="127"/>
      <c r="G132" s="127"/>
      <c r="H132" s="127"/>
      <c r="I132" s="127"/>
      <c r="J132" s="127"/>
      <c r="K132" s="127"/>
      <c r="L132" s="127"/>
      <c r="M132" s="127"/>
      <c r="N132" s="127"/>
      <c r="O132" s="127"/>
      <c r="P132" s="127"/>
      <c r="Q132" s="127"/>
      <c r="R132" s="128" t="str">
        <f t="shared" si="6"/>
        <v/>
      </c>
      <c r="S132" s="129" t="str">
        <f t="shared" si="7"/>
        <v/>
      </c>
    </row>
    <row r="133" spans="1:19" x14ac:dyDescent="0.25">
      <c r="A133" s="127"/>
      <c r="B133" s="127"/>
      <c r="C133" s="127"/>
      <c r="D133" s="127"/>
      <c r="E133" s="127"/>
      <c r="F133" s="127"/>
      <c r="G133" s="127"/>
      <c r="H133" s="127"/>
      <c r="I133" s="127"/>
      <c r="J133" s="127"/>
      <c r="K133" s="127"/>
      <c r="L133" s="127"/>
      <c r="M133" s="127"/>
      <c r="N133" s="127"/>
      <c r="O133" s="127"/>
      <c r="P133" s="127"/>
      <c r="Q133" s="127"/>
      <c r="R133" s="128" t="str">
        <f t="shared" si="6"/>
        <v/>
      </c>
      <c r="S133" s="129" t="str">
        <f t="shared" si="7"/>
        <v/>
      </c>
    </row>
    <row r="134" spans="1:19" x14ac:dyDescent="0.25">
      <c r="A134" s="127"/>
      <c r="B134" s="127"/>
      <c r="C134" s="127"/>
      <c r="D134" s="127"/>
      <c r="E134" s="127"/>
      <c r="F134" s="127"/>
      <c r="G134" s="127"/>
      <c r="H134" s="127"/>
      <c r="I134" s="127"/>
      <c r="J134" s="127"/>
      <c r="K134" s="127"/>
      <c r="L134" s="127"/>
      <c r="M134" s="127"/>
      <c r="N134" s="127"/>
      <c r="O134" s="127"/>
      <c r="P134" s="127"/>
      <c r="Q134" s="127"/>
      <c r="R134" s="128" t="str">
        <f t="shared" ref="R134:R148" si="8">IF(COUNTA(B134:Q134)=0,"",SUM(B134:Q134))</f>
        <v/>
      </c>
      <c r="S134" s="129" t="str">
        <f t="shared" ref="S134:S148" si="9">IF(COUNTA(B134:Q134)=0,"",SUM(B134:Q134)/$R$4)</f>
        <v/>
      </c>
    </row>
    <row r="135" spans="1:19" x14ac:dyDescent="0.25">
      <c r="A135" s="127"/>
      <c r="B135" s="127"/>
      <c r="C135" s="127"/>
      <c r="D135" s="127"/>
      <c r="E135" s="127"/>
      <c r="F135" s="127"/>
      <c r="G135" s="127"/>
      <c r="H135" s="127"/>
      <c r="I135" s="127"/>
      <c r="J135" s="127"/>
      <c r="K135" s="127"/>
      <c r="L135" s="127"/>
      <c r="M135" s="127"/>
      <c r="N135" s="127"/>
      <c r="O135" s="127"/>
      <c r="P135" s="127"/>
      <c r="Q135" s="127"/>
      <c r="R135" s="128" t="str">
        <f t="shared" si="8"/>
        <v/>
      </c>
      <c r="S135" s="129" t="str">
        <f t="shared" si="9"/>
        <v/>
      </c>
    </row>
    <row r="136" spans="1:19" x14ac:dyDescent="0.25">
      <c r="A136" s="127"/>
      <c r="B136" s="127"/>
      <c r="C136" s="127"/>
      <c r="D136" s="127"/>
      <c r="E136" s="127"/>
      <c r="F136" s="127"/>
      <c r="G136" s="127"/>
      <c r="H136" s="127"/>
      <c r="I136" s="127"/>
      <c r="J136" s="127"/>
      <c r="K136" s="127"/>
      <c r="L136" s="127"/>
      <c r="M136" s="127"/>
      <c r="N136" s="127"/>
      <c r="O136" s="127"/>
      <c r="P136" s="127"/>
      <c r="Q136" s="127"/>
      <c r="R136" s="128" t="str">
        <f t="shared" si="8"/>
        <v/>
      </c>
      <c r="S136" s="129" t="str">
        <f t="shared" si="9"/>
        <v/>
      </c>
    </row>
    <row r="137" spans="1:19" x14ac:dyDescent="0.25">
      <c r="A137" s="127"/>
      <c r="B137" s="127"/>
      <c r="C137" s="127"/>
      <c r="D137" s="127"/>
      <c r="E137" s="127"/>
      <c r="F137" s="127"/>
      <c r="G137" s="127"/>
      <c r="H137" s="127"/>
      <c r="I137" s="127"/>
      <c r="J137" s="127"/>
      <c r="K137" s="127"/>
      <c r="L137" s="127"/>
      <c r="M137" s="127"/>
      <c r="N137" s="127"/>
      <c r="O137" s="127"/>
      <c r="P137" s="127"/>
      <c r="Q137" s="127"/>
      <c r="R137" s="128" t="str">
        <f t="shared" si="8"/>
        <v/>
      </c>
      <c r="S137" s="129" t="str">
        <f t="shared" si="9"/>
        <v/>
      </c>
    </row>
    <row r="138" spans="1:19" x14ac:dyDescent="0.25">
      <c r="A138" s="127"/>
      <c r="B138" s="127"/>
      <c r="C138" s="127"/>
      <c r="D138" s="127"/>
      <c r="E138" s="127"/>
      <c r="F138" s="127"/>
      <c r="G138" s="127"/>
      <c r="H138" s="127"/>
      <c r="I138" s="127"/>
      <c r="J138" s="127"/>
      <c r="K138" s="127"/>
      <c r="L138" s="127"/>
      <c r="M138" s="127"/>
      <c r="N138" s="127"/>
      <c r="O138" s="127"/>
      <c r="P138" s="127"/>
      <c r="Q138" s="127"/>
      <c r="R138" s="128" t="str">
        <f t="shared" si="8"/>
        <v/>
      </c>
      <c r="S138" s="129" t="str">
        <f t="shared" si="9"/>
        <v/>
      </c>
    </row>
    <row r="139" spans="1:19" x14ac:dyDescent="0.25">
      <c r="A139" s="127"/>
      <c r="B139" s="127"/>
      <c r="C139" s="127"/>
      <c r="D139" s="127"/>
      <c r="E139" s="127"/>
      <c r="F139" s="127"/>
      <c r="G139" s="127"/>
      <c r="H139" s="127"/>
      <c r="I139" s="127"/>
      <c r="J139" s="127"/>
      <c r="K139" s="127"/>
      <c r="L139" s="127"/>
      <c r="M139" s="127"/>
      <c r="N139" s="127"/>
      <c r="O139" s="127"/>
      <c r="P139" s="127"/>
      <c r="Q139" s="127"/>
      <c r="R139" s="128" t="str">
        <f t="shared" si="8"/>
        <v/>
      </c>
      <c r="S139" s="129" t="str">
        <f t="shared" si="9"/>
        <v/>
      </c>
    </row>
    <row r="140" spans="1:19" x14ac:dyDescent="0.25">
      <c r="A140" s="127"/>
      <c r="B140" s="127"/>
      <c r="C140" s="127"/>
      <c r="D140" s="127"/>
      <c r="E140" s="127"/>
      <c r="F140" s="127"/>
      <c r="G140" s="127"/>
      <c r="H140" s="127"/>
      <c r="I140" s="127"/>
      <c r="J140" s="127"/>
      <c r="K140" s="127"/>
      <c r="L140" s="127"/>
      <c r="M140" s="127"/>
      <c r="N140" s="127"/>
      <c r="O140" s="127"/>
      <c r="P140" s="127"/>
      <c r="Q140" s="127"/>
      <c r="R140" s="128" t="str">
        <f t="shared" si="8"/>
        <v/>
      </c>
      <c r="S140" s="129" t="str">
        <f t="shared" si="9"/>
        <v/>
      </c>
    </row>
    <row r="141" spans="1:19" x14ac:dyDescent="0.25">
      <c r="A141" s="127"/>
      <c r="B141" s="127"/>
      <c r="C141" s="127"/>
      <c r="D141" s="127"/>
      <c r="E141" s="127"/>
      <c r="F141" s="127"/>
      <c r="G141" s="127"/>
      <c r="H141" s="127"/>
      <c r="I141" s="127"/>
      <c r="J141" s="127"/>
      <c r="K141" s="127"/>
      <c r="L141" s="127"/>
      <c r="M141" s="127"/>
      <c r="N141" s="127"/>
      <c r="O141" s="127"/>
      <c r="P141" s="127"/>
      <c r="Q141" s="127"/>
      <c r="R141" s="128" t="str">
        <f t="shared" si="8"/>
        <v/>
      </c>
      <c r="S141" s="129" t="str">
        <f t="shared" si="9"/>
        <v/>
      </c>
    </row>
    <row r="142" spans="1:19" x14ac:dyDescent="0.25">
      <c r="A142" s="127"/>
      <c r="B142" s="127"/>
      <c r="C142" s="127"/>
      <c r="D142" s="127"/>
      <c r="E142" s="127"/>
      <c r="F142" s="127"/>
      <c r="G142" s="127"/>
      <c r="H142" s="127"/>
      <c r="I142" s="127"/>
      <c r="J142" s="127"/>
      <c r="K142" s="127"/>
      <c r="L142" s="127"/>
      <c r="M142" s="127"/>
      <c r="N142" s="127"/>
      <c r="O142" s="127"/>
      <c r="P142" s="127"/>
      <c r="Q142" s="127"/>
      <c r="R142" s="128" t="str">
        <f t="shared" si="8"/>
        <v/>
      </c>
      <c r="S142" s="129" t="str">
        <f t="shared" si="9"/>
        <v/>
      </c>
    </row>
    <row r="143" spans="1:19" x14ac:dyDescent="0.25">
      <c r="A143" s="127"/>
      <c r="B143" s="127"/>
      <c r="C143" s="127"/>
      <c r="D143" s="127"/>
      <c r="E143" s="127"/>
      <c r="F143" s="127"/>
      <c r="G143" s="127"/>
      <c r="H143" s="127"/>
      <c r="I143" s="127"/>
      <c r="J143" s="127"/>
      <c r="K143" s="127"/>
      <c r="L143" s="127"/>
      <c r="M143" s="127"/>
      <c r="N143" s="127"/>
      <c r="O143" s="127"/>
      <c r="P143" s="127"/>
      <c r="Q143" s="127"/>
      <c r="R143" s="128" t="str">
        <f t="shared" si="8"/>
        <v/>
      </c>
      <c r="S143" s="129" t="str">
        <f t="shared" si="9"/>
        <v/>
      </c>
    </row>
    <row r="144" spans="1:19" x14ac:dyDescent="0.25">
      <c r="A144" s="127"/>
      <c r="B144" s="127"/>
      <c r="C144" s="127"/>
      <c r="D144" s="127"/>
      <c r="E144" s="127"/>
      <c r="F144" s="127"/>
      <c r="G144" s="127"/>
      <c r="H144" s="127"/>
      <c r="I144" s="127"/>
      <c r="J144" s="127"/>
      <c r="K144" s="127"/>
      <c r="L144" s="127"/>
      <c r="M144" s="127"/>
      <c r="N144" s="127"/>
      <c r="O144" s="127"/>
      <c r="P144" s="127"/>
      <c r="Q144" s="127"/>
      <c r="R144" s="128" t="str">
        <f t="shared" si="8"/>
        <v/>
      </c>
      <c r="S144" s="129" t="str">
        <f t="shared" si="9"/>
        <v/>
      </c>
    </row>
    <row r="145" spans="1:19" x14ac:dyDescent="0.25">
      <c r="A145" s="127"/>
      <c r="B145" s="127"/>
      <c r="C145" s="127"/>
      <c r="D145" s="127"/>
      <c r="E145" s="127"/>
      <c r="F145" s="127"/>
      <c r="G145" s="127"/>
      <c r="H145" s="127"/>
      <c r="I145" s="127"/>
      <c r="J145" s="127"/>
      <c r="K145" s="127"/>
      <c r="L145" s="127"/>
      <c r="M145" s="127"/>
      <c r="N145" s="127"/>
      <c r="O145" s="127"/>
      <c r="P145" s="127"/>
      <c r="Q145" s="127"/>
      <c r="R145" s="128" t="str">
        <f t="shared" si="8"/>
        <v/>
      </c>
      <c r="S145" s="129" t="str">
        <f t="shared" si="9"/>
        <v/>
      </c>
    </row>
    <row r="146" spans="1:19" x14ac:dyDescent="0.25">
      <c r="A146" s="127"/>
      <c r="B146" s="127"/>
      <c r="C146" s="127"/>
      <c r="D146" s="127"/>
      <c r="E146" s="127"/>
      <c r="F146" s="127"/>
      <c r="G146" s="127"/>
      <c r="H146" s="127"/>
      <c r="I146" s="127"/>
      <c r="J146" s="127"/>
      <c r="K146" s="127"/>
      <c r="L146" s="127"/>
      <c r="M146" s="127"/>
      <c r="N146" s="127"/>
      <c r="O146" s="127"/>
      <c r="P146" s="127"/>
      <c r="Q146" s="127"/>
      <c r="R146" s="128" t="str">
        <f t="shared" si="8"/>
        <v/>
      </c>
      <c r="S146" s="129" t="str">
        <f t="shared" si="9"/>
        <v/>
      </c>
    </row>
    <row r="147" spans="1:19" x14ac:dyDescent="0.25">
      <c r="A147" s="127"/>
      <c r="B147" s="127"/>
      <c r="C147" s="127"/>
      <c r="D147" s="127"/>
      <c r="E147" s="127"/>
      <c r="F147" s="127"/>
      <c r="G147" s="127"/>
      <c r="H147" s="127"/>
      <c r="I147" s="127"/>
      <c r="J147" s="127"/>
      <c r="K147" s="127"/>
      <c r="L147" s="127"/>
      <c r="M147" s="127"/>
      <c r="N147" s="127"/>
      <c r="O147" s="127"/>
      <c r="P147" s="127"/>
      <c r="Q147" s="127"/>
      <c r="R147" s="128" t="str">
        <f t="shared" si="8"/>
        <v/>
      </c>
      <c r="S147" s="129" t="str">
        <f t="shared" si="9"/>
        <v/>
      </c>
    </row>
    <row r="148" spans="1:19" x14ac:dyDescent="0.25">
      <c r="A148" s="127"/>
      <c r="B148" s="127"/>
      <c r="C148" s="127"/>
      <c r="D148" s="127"/>
      <c r="E148" s="127"/>
      <c r="F148" s="127"/>
      <c r="G148" s="127"/>
      <c r="H148" s="127"/>
      <c r="I148" s="127"/>
      <c r="J148" s="127"/>
      <c r="K148" s="127"/>
      <c r="L148" s="127"/>
      <c r="M148" s="127"/>
      <c r="N148" s="127"/>
      <c r="O148" s="127"/>
      <c r="P148" s="127"/>
      <c r="Q148" s="127"/>
      <c r="R148" s="128" t="str">
        <f t="shared" si="8"/>
        <v/>
      </c>
      <c r="S148" s="129" t="str">
        <f t="shared" si="9"/>
        <v/>
      </c>
    </row>
  </sheetData>
  <sheetProtection selectLockedCells="1"/>
  <mergeCells count="7">
    <mergeCell ref="R2:S2"/>
    <mergeCell ref="R1:S1"/>
    <mergeCell ref="B1:C1"/>
    <mergeCell ref="B2:K2"/>
    <mergeCell ref="L2:Q2"/>
    <mergeCell ref="L1:Q1"/>
    <mergeCell ref="E1:K1"/>
  </mergeCells>
  <phoneticPr fontId="1" type="noConversion"/>
  <conditionalFormatting sqref="R1">
    <cfRule type="cellIs" dxfId="237" priority="418" stopIfTrue="1" operator="greaterThanOrEqual">
      <formula>0.85</formula>
    </cfRule>
    <cfRule type="cellIs" dxfId="236" priority="420" stopIfTrue="1" operator="lessThan">
      <formula>0.85</formula>
    </cfRule>
  </conditionalFormatting>
  <conditionalFormatting sqref="A1">
    <cfRule type="expression" dxfId="235" priority="411" stopIfTrue="1">
      <formula>"Click to  Select Teacher"</formula>
    </cfRule>
  </conditionalFormatting>
  <conditionalFormatting sqref="D52">
    <cfRule type="expression" dxfId="234" priority="106">
      <formula>COUNTA(D52)&gt;0</formula>
    </cfRule>
  </conditionalFormatting>
  <conditionalFormatting sqref="B6:B51">
    <cfRule type="expression" dxfId="233" priority="37">
      <formula>COUNTA(B6)&gt;0</formula>
    </cfRule>
    <cfRule type="colorScale" priority="38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:C51">
    <cfRule type="expression" dxfId="232" priority="35">
      <formula>COUNTA(C6)&gt;0</formula>
    </cfRule>
    <cfRule type="colorScale" priority="36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F6:F51">
    <cfRule type="expression" dxfId="231" priority="31">
      <formula>COUNTA(F6)&gt;0</formula>
    </cfRule>
    <cfRule type="colorScale" priority="32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G6:G51">
    <cfRule type="expression" dxfId="230" priority="29">
      <formula>COUNTA(G6)&gt;0</formula>
    </cfRule>
    <cfRule type="colorScale" priority="30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:H51">
    <cfRule type="expression" dxfId="229" priority="27">
      <formula>COUNTA(H6)&gt;0</formula>
    </cfRule>
    <cfRule type="colorScale" priority="28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6:I51">
    <cfRule type="expression" dxfId="228" priority="25">
      <formula>COUNTA(I6)&gt;0</formula>
    </cfRule>
    <cfRule type="colorScale" priority="26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6:J51">
    <cfRule type="expression" dxfId="227" priority="23">
      <formula>COUNTA(J6)&gt;0</formula>
    </cfRule>
    <cfRule type="colorScale" priority="24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6:K51">
    <cfRule type="expression" dxfId="226" priority="21">
      <formula>COUNTA(K6)&gt;0</formula>
    </cfRule>
    <cfRule type="colorScale" priority="22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6:L51">
    <cfRule type="expression" dxfId="225" priority="19">
      <formula>COUNTA(L6)&gt;0</formula>
    </cfRule>
    <cfRule type="colorScale" priority="20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6:M51">
    <cfRule type="expression" dxfId="224" priority="17">
      <formula>COUNTA(M6)&gt;0</formula>
    </cfRule>
    <cfRule type="colorScale" priority="18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6:N51">
    <cfRule type="expression" dxfId="223" priority="15">
      <formula>COUNTA(N6)&gt;0</formula>
    </cfRule>
    <cfRule type="colorScale" priority="16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6:O51">
    <cfRule type="expression" dxfId="222" priority="13">
      <formula>COUNTA(O6)&gt;0</formula>
    </cfRule>
    <cfRule type="colorScale" priority="14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P6:Q9">
    <cfRule type="expression" dxfId="221" priority="11">
      <formula>COUNTA(P6)&gt;0</formula>
    </cfRule>
    <cfRule type="colorScale" priority="12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P6:P51">
    <cfRule type="expression" dxfId="220" priority="9">
      <formula>COUNTA(P6)&gt;0</formula>
    </cfRule>
    <cfRule type="colorScale" priority="10">
      <colorScale>
        <cfvo type="num" val="0"/>
        <cfvo type="num" val="($P$4)/2"/>
        <cfvo type="num" val="$P$4"/>
        <color rgb="FFEA4C4C"/>
        <color rgb="FFFFEB84"/>
        <color theme="6" tint="-0.249977111117893"/>
      </colorScale>
    </cfRule>
  </conditionalFormatting>
  <conditionalFormatting sqref="Q6:Q51">
    <cfRule type="expression" dxfId="219" priority="7">
      <formula>COUNTA(Q6)&gt;0</formula>
    </cfRule>
    <cfRule type="colorScale" priority="8">
      <colorScale>
        <cfvo type="num" val="0"/>
        <cfvo type="num" val="($Q$4)/2"/>
        <cfvo type="num" val="$Q$4"/>
        <color rgb="FFEA4C4C"/>
        <color rgb="FFFFEB84"/>
        <color theme="6" tint="-0.249977111117893"/>
      </colorScale>
    </cfRule>
  </conditionalFormatting>
  <conditionalFormatting sqref="E6:E51">
    <cfRule type="expression" dxfId="218" priority="33">
      <formula>COUNTA(E6)&gt;0</formula>
    </cfRule>
    <cfRule type="colorScale" priority="34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:D51">
    <cfRule type="expression" dxfId="217" priority="5">
      <formula>COUNTA(D6)&gt;0</formula>
    </cfRule>
    <cfRule type="colorScale" priority="6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R6:R51">
    <cfRule type="colorScale" priority="3">
      <colorScale>
        <cfvo type="num" val="0"/>
        <cfvo type="num" val="$R$4/2"/>
        <cfvo type="num" val="$R$4"/>
        <color rgb="FFEA4C4C"/>
        <color rgb="FFFFEB84"/>
        <color theme="6" tint="-0.249977111117893"/>
      </colorScale>
    </cfRule>
    <cfRule type="expression" dxfId="216" priority="4">
      <formula>ISNUMBER(R6)</formula>
    </cfRule>
  </conditionalFormatting>
  <conditionalFormatting sqref="S6:S51">
    <cfRule type="colorScale" priority="1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215" priority="2">
      <formula>ISNUMBER(S6)</formula>
    </cfRule>
  </conditionalFormatting>
  <dataValidations disablePrompts="1" count="1">
    <dataValidation type="list" allowBlank="1" showInputMessage="1" showErrorMessage="1" sqref="V3:V4">
      <formula1>$W$2:$W$4</formula1>
    </dataValidation>
  </dataValidations>
  <printOptions horizontalCentered="1" gridLines="1"/>
  <pageMargins left="0.25" right="0.25" top="1.25" bottom="1" header="0.5" footer="0.5"/>
  <pageSetup orientation="landscape" r:id="rId1"/>
  <headerFooter alignWithMargins="0">
    <oddHeader>&amp;C&amp;"Times New Roman,Bold"&amp;12Mathematics
Skills Analysis Sheet forAddition, Subtraction, and the Number System
Grade 2, &amp;A</oddHeader>
    <oddFooter>&amp;L&amp;"Times New Roman"&amp;8Grade 2, &amp;A
Understanding Addition and Subtraction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" stopIfTrue="1" id="{5064D249-4D1B-41E1-A3E7-CBCC89BCA23D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748"/>
  <sheetViews>
    <sheetView zoomScaleNormal="100" zoomScaleSheetLayoutView="85" workbookViewId="0">
      <selection activeCell="B6" sqref="A1:XFD1048576"/>
    </sheetView>
  </sheetViews>
  <sheetFormatPr defaultColWidth="9.140625" defaultRowHeight="15.75" x14ac:dyDescent="0.25"/>
  <cols>
    <col min="1" max="1" width="25.7109375" style="127" customWidth="1"/>
    <col min="2" max="2" width="8" style="127" customWidth="1"/>
    <col min="3" max="3" width="4.42578125" style="127" customWidth="1"/>
    <col min="4" max="4" width="4.85546875" style="127" customWidth="1"/>
    <col min="5" max="5" width="5.140625" style="127" customWidth="1"/>
    <col min="6" max="6" width="4.85546875" style="127" customWidth="1"/>
    <col min="7" max="7" width="4.140625" style="127" customWidth="1"/>
    <col min="8" max="8" width="5" style="127" customWidth="1"/>
    <col min="9" max="9" width="5.140625" style="127" customWidth="1"/>
    <col min="10" max="10" width="4.140625" style="127" customWidth="1"/>
    <col min="11" max="11" width="5.140625" style="127" customWidth="1"/>
    <col min="12" max="12" width="4.28515625" style="127" customWidth="1"/>
    <col min="13" max="13" width="5.42578125" style="127" customWidth="1"/>
    <col min="14" max="15" width="5.140625" style="127" customWidth="1"/>
    <col min="16" max="16" width="6.85546875" style="158" customWidth="1"/>
    <col min="17" max="17" width="11" style="157" customWidth="1"/>
    <col min="18" max="16384" width="9.140625" style="127"/>
  </cols>
  <sheetData>
    <row r="1" spans="1:22" ht="47.25" customHeight="1" x14ac:dyDescent="0.25">
      <c r="A1" s="113" t="str">
        <f>IF(Info!B1&lt;&gt;0,Info!B1,"Please fill out info sheet")</f>
        <v>Ms. Johnston</v>
      </c>
      <c r="B1" s="145" t="s">
        <v>41</v>
      </c>
      <c r="C1" s="146" t="s">
        <v>16</v>
      </c>
      <c r="D1" s="146"/>
      <c r="E1" s="116" t="s">
        <v>60</v>
      </c>
      <c r="F1" s="117"/>
      <c r="G1" s="117"/>
      <c r="H1" s="117"/>
      <c r="I1" s="147" t="s">
        <v>37</v>
      </c>
      <c r="J1" s="148"/>
      <c r="K1" s="148"/>
      <c r="L1" s="148"/>
      <c r="M1" s="148"/>
      <c r="N1" s="148"/>
      <c r="O1" s="149"/>
      <c r="P1" s="150">
        <f>IF(COUNTA(class_list)&lt;&gt;0,(COUNTIF(UNIT_2_SCORES,"&gt;=.795"))/COUNTA(class_list), "N/A")</f>
        <v>0.88888888888888884</v>
      </c>
      <c r="Q1" s="120"/>
      <c r="R1" s="151"/>
      <c r="S1" s="151"/>
      <c r="T1" s="151"/>
      <c r="U1" s="151"/>
      <c r="V1" s="151"/>
    </row>
    <row r="2" spans="1:22" ht="48.75" customHeight="1" x14ac:dyDescent="0.25">
      <c r="A2" s="152" t="s">
        <v>1</v>
      </c>
      <c r="B2" s="153" t="s">
        <v>43</v>
      </c>
      <c r="C2" s="153"/>
      <c r="D2" s="153"/>
      <c r="E2" s="153"/>
      <c r="F2" s="153"/>
      <c r="G2" s="153"/>
      <c r="H2" s="153"/>
      <c r="I2" s="153"/>
      <c r="J2" s="153"/>
      <c r="K2" s="153"/>
      <c r="L2" s="153" t="s">
        <v>44</v>
      </c>
      <c r="M2" s="153"/>
      <c r="N2" s="153"/>
      <c r="O2" s="153"/>
      <c r="P2" s="154" t="s">
        <v>31</v>
      </c>
      <c r="Q2" s="155"/>
    </row>
    <row r="3" spans="1:22" ht="15" customHeight="1" x14ac:dyDescent="0.25">
      <c r="A3" s="156" t="s">
        <v>2</v>
      </c>
      <c r="B3" s="121">
        <v>1</v>
      </c>
      <c r="C3" s="121">
        <v>2</v>
      </c>
      <c r="D3" s="121">
        <v>4</v>
      </c>
      <c r="E3" s="121">
        <v>5</v>
      </c>
      <c r="F3" s="121">
        <v>6</v>
      </c>
      <c r="G3" s="121">
        <v>8</v>
      </c>
      <c r="H3" s="121">
        <v>11</v>
      </c>
      <c r="I3" s="121">
        <v>12</v>
      </c>
      <c r="J3" s="121">
        <v>13</v>
      </c>
      <c r="K3" s="121">
        <v>14</v>
      </c>
      <c r="L3" s="121">
        <v>3</v>
      </c>
      <c r="M3" s="121">
        <v>7</v>
      </c>
      <c r="N3" s="121">
        <v>9</v>
      </c>
      <c r="O3" s="121">
        <v>10</v>
      </c>
      <c r="P3" s="156" t="s">
        <v>4</v>
      </c>
      <c r="Q3" s="156" t="s">
        <v>17</v>
      </c>
    </row>
    <row r="4" spans="1:22" ht="14.25" customHeight="1" x14ac:dyDescent="0.25">
      <c r="A4" s="156" t="s">
        <v>3</v>
      </c>
      <c r="B4" s="143">
        <v>1</v>
      </c>
      <c r="C4" s="143">
        <v>1</v>
      </c>
      <c r="D4" s="143">
        <v>2</v>
      </c>
      <c r="E4" s="143">
        <v>4</v>
      </c>
      <c r="F4" s="143">
        <v>3</v>
      </c>
      <c r="G4" s="143">
        <v>1</v>
      </c>
      <c r="H4" s="143">
        <v>1</v>
      </c>
      <c r="I4" s="143">
        <v>1</v>
      </c>
      <c r="J4" s="143">
        <v>2</v>
      </c>
      <c r="K4" s="143">
        <v>5</v>
      </c>
      <c r="L4" s="143">
        <v>3</v>
      </c>
      <c r="M4" s="143">
        <v>3</v>
      </c>
      <c r="N4" s="143">
        <v>1</v>
      </c>
      <c r="O4" s="143">
        <v>1</v>
      </c>
      <c r="P4" s="156">
        <f>SUM(B4:O4)</f>
        <v>29</v>
      </c>
      <c r="Q4" s="156"/>
    </row>
    <row r="5" spans="1:22" ht="12.75" customHeight="1" x14ac:dyDescent="0.25">
      <c r="A5" s="122" t="s">
        <v>0</v>
      </c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</row>
    <row r="6" spans="1:22" x14ac:dyDescent="0.25">
      <c r="A6" s="123" t="str">
        <f>(IF(Info!$B3&lt;&gt;"",Info!$B3,""))</f>
        <v>Cal Ripkin</v>
      </c>
      <c r="B6" s="124">
        <v>1</v>
      </c>
      <c r="C6" s="124">
        <v>1</v>
      </c>
      <c r="D6" s="124">
        <v>2</v>
      </c>
      <c r="E6" s="124">
        <v>4</v>
      </c>
      <c r="F6" s="124">
        <v>3</v>
      </c>
      <c r="G6" s="124">
        <v>1</v>
      </c>
      <c r="H6" s="124">
        <v>1</v>
      </c>
      <c r="I6" s="124">
        <v>1</v>
      </c>
      <c r="J6" s="124">
        <v>2</v>
      </c>
      <c r="K6" s="124">
        <v>5</v>
      </c>
      <c r="L6" s="124">
        <v>2</v>
      </c>
      <c r="M6" s="124">
        <v>2</v>
      </c>
      <c r="N6" s="124">
        <v>1</v>
      </c>
      <c r="O6" s="124">
        <v>1</v>
      </c>
      <c r="P6" s="125">
        <f>IF(COUNTA(B6:O6)=0,"",SUM(B6:O6))</f>
        <v>27</v>
      </c>
      <c r="Q6" s="126">
        <f>IF(COUNTA(B6:O6)=0,"",SUM(B6:O6)/$P$4)</f>
        <v>0.93103448275862066</v>
      </c>
    </row>
    <row r="7" spans="1:22" x14ac:dyDescent="0.25">
      <c r="A7" s="123" t="str">
        <f>(IF(Info!$B4&lt;&gt;"",Info!$B4,""))</f>
        <v>Brooks Robinson</v>
      </c>
      <c r="B7" s="124">
        <v>0</v>
      </c>
      <c r="C7" s="124">
        <v>1</v>
      </c>
      <c r="D7" s="124">
        <v>2</v>
      </c>
      <c r="E7" s="124">
        <v>4</v>
      </c>
      <c r="F7" s="124">
        <v>3</v>
      </c>
      <c r="G7" s="124">
        <v>1</v>
      </c>
      <c r="H7" s="124">
        <v>1</v>
      </c>
      <c r="I7" s="124">
        <v>1</v>
      </c>
      <c r="J7" s="124">
        <v>2</v>
      </c>
      <c r="K7" s="124">
        <v>5</v>
      </c>
      <c r="L7" s="124">
        <v>3</v>
      </c>
      <c r="M7" s="124">
        <v>3</v>
      </c>
      <c r="N7" s="124">
        <v>1</v>
      </c>
      <c r="O7" s="124">
        <v>1</v>
      </c>
      <c r="P7" s="125">
        <f t="shared" ref="P7:P51" si="0">IF(COUNTA(B7:O7)=0,"",SUM(B7:O7))</f>
        <v>28</v>
      </c>
      <c r="Q7" s="126">
        <f t="shared" ref="Q7:Q51" si="1">IF(COUNTA(B7:O7)=0,"",SUM(B7:O7)/$P$4)</f>
        <v>0.96551724137931039</v>
      </c>
    </row>
    <row r="8" spans="1:22" x14ac:dyDescent="0.25">
      <c r="A8" s="123" t="str">
        <f>(IF(Info!$B5&lt;&gt;"",Info!$B5,""))</f>
        <v>Frank Robinson</v>
      </c>
      <c r="B8" s="124">
        <v>1</v>
      </c>
      <c r="C8" s="124">
        <v>1</v>
      </c>
      <c r="D8" s="124">
        <v>1</v>
      </c>
      <c r="E8" s="124">
        <v>4</v>
      </c>
      <c r="F8" s="124">
        <v>3</v>
      </c>
      <c r="G8" s="124">
        <v>1</v>
      </c>
      <c r="H8" s="124">
        <v>1</v>
      </c>
      <c r="I8" s="124">
        <v>1</v>
      </c>
      <c r="J8" s="124">
        <v>1</v>
      </c>
      <c r="K8" s="124">
        <v>5</v>
      </c>
      <c r="L8" s="124">
        <v>1</v>
      </c>
      <c r="M8" s="124">
        <v>2</v>
      </c>
      <c r="N8" s="124">
        <v>1</v>
      </c>
      <c r="O8" s="124">
        <v>1</v>
      </c>
      <c r="P8" s="125">
        <f t="shared" si="0"/>
        <v>24</v>
      </c>
      <c r="Q8" s="126">
        <f t="shared" si="1"/>
        <v>0.82758620689655171</v>
      </c>
    </row>
    <row r="9" spans="1:22" x14ac:dyDescent="0.25">
      <c r="A9" s="123" t="str">
        <f>(IF(Info!$B6&lt;&gt;"",Info!$B6,""))</f>
        <v>Jim Palmer</v>
      </c>
      <c r="B9" s="124">
        <v>1</v>
      </c>
      <c r="C9" s="124">
        <v>1</v>
      </c>
      <c r="D9" s="124">
        <v>2</v>
      </c>
      <c r="E9" s="124">
        <v>4</v>
      </c>
      <c r="F9" s="124">
        <v>3</v>
      </c>
      <c r="G9" s="124">
        <v>1</v>
      </c>
      <c r="H9" s="124">
        <v>1</v>
      </c>
      <c r="I9" s="124">
        <v>1</v>
      </c>
      <c r="J9" s="124">
        <v>2</v>
      </c>
      <c r="K9" s="124">
        <v>4</v>
      </c>
      <c r="L9" s="124">
        <v>3</v>
      </c>
      <c r="M9" s="124">
        <v>3</v>
      </c>
      <c r="N9" s="124">
        <v>1</v>
      </c>
      <c r="O9" s="124">
        <v>1</v>
      </c>
      <c r="P9" s="125">
        <f t="shared" si="0"/>
        <v>28</v>
      </c>
      <c r="Q9" s="126">
        <f t="shared" si="1"/>
        <v>0.96551724137931039</v>
      </c>
    </row>
    <row r="10" spans="1:22" x14ac:dyDescent="0.25">
      <c r="A10" s="123" t="str">
        <f>(IF(Info!$B7&lt;&gt;"",Info!$B7,""))</f>
        <v>Eddie Murray</v>
      </c>
      <c r="B10" s="124">
        <v>0</v>
      </c>
      <c r="C10" s="124">
        <v>1</v>
      </c>
      <c r="D10" s="124">
        <v>1</v>
      </c>
      <c r="E10" s="124">
        <v>4</v>
      </c>
      <c r="F10" s="124">
        <v>3</v>
      </c>
      <c r="G10" s="124">
        <v>1</v>
      </c>
      <c r="H10" s="124">
        <v>1</v>
      </c>
      <c r="I10" s="124">
        <v>1</v>
      </c>
      <c r="J10" s="124">
        <v>2</v>
      </c>
      <c r="K10" s="124">
        <v>5</v>
      </c>
      <c r="L10" s="124">
        <v>1</v>
      </c>
      <c r="M10" s="124">
        <v>3</v>
      </c>
      <c r="N10" s="124">
        <v>1</v>
      </c>
      <c r="O10" s="124">
        <v>1</v>
      </c>
      <c r="P10" s="125">
        <f t="shared" si="0"/>
        <v>25</v>
      </c>
      <c r="Q10" s="126">
        <f t="shared" si="1"/>
        <v>0.86206896551724133</v>
      </c>
    </row>
    <row r="11" spans="1:22" x14ac:dyDescent="0.25">
      <c r="A11" s="123" t="str">
        <f>(IF(Info!$B8&lt;&gt;"",Info!$B8,""))</f>
        <v>Manny Machado</v>
      </c>
      <c r="B11" s="124">
        <v>1</v>
      </c>
      <c r="C11" s="124">
        <v>1</v>
      </c>
      <c r="D11" s="124">
        <v>2</v>
      </c>
      <c r="E11" s="124">
        <v>4</v>
      </c>
      <c r="F11" s="124">
        <v>3</v>
      </c>
      <c r="G11" s="124">
        <v>1</v>
      </c>
      <c r="H11" s="124">
        <v>1</v>
      </c>
      <c r="I11" s="124">
        <v>1</v>
      </c>
      <c r="J11" s="124">
        <v>2</v>
      </c>
      <c r="K11" s="124">
        <v>5</v>
      </c>
      <c r="L11" s="124">
        <v>2</v>
      </c>
      <c r="M11" s="124">
        <v>3</v>
      </c>
      <c r="N11" s="124">
        <v>1</v>
      </c>
      <c r="O11" s="124">
        <v>1</v>
      </c>
      <c r="P11" s="125">
        <f t="shared" si="0"/>
        <v>28</v>
      </c>
      <c r="Q11" s="126">
        <f t="shared" si="1"/>
        <v>0.96551724137931039</v>
      </c>
    </row>
    <row r="12" spans="1:22" ht="13.5" customHeight="1" x14ac:dyDescent="0.25">
      <c r="A12" s="123" t="str">
        <f>(IF(Info!$B9&lt;&gt;"",Info!$B9,""))</f>
        <v>Boog Powell</v>
      </c>
      <c r="B12" s="124">
        <v>1</v>
      </c>
      <c r="C12" s="124">
        <v>1</v>
      </c>
      <c r="D12" s="124">
        <v>2</v>
      </c>
      <c r="E12" s="124">
        <v>4</v>
      </c>
      <c r="F12" s="124">
        <v>3</v>
      </c>
      <c r="G12" s="124">
        <v>1</v>
      </c>
      <c r="H12" s="124">
        <v>1</v>
      </c>
      <c r="I12" s="124">
        <v>1</v>
      </c>
      <c r="J12" s="124">
        <v>2</v>
      </c>
      <c r="K12" s="124">
        <v>5</v>
      </c>
      <c r="L12" s="124">
        <v>3</v>
      </c>
      <c r="M12" s="124">
        <v>3</v>
      </c>
      <c r="N12" s="124">
        <v>1</v>
      </c>
      <c r="O12" s="124">
        <v>1</v>
      </c>
      <c r="P12" s="125">
        <f t="shared" si="0"/>
        <v>29</v>
      </c>
      <c r="Q12" s="126">
        <f t="shared" si="1"/>
        <v>1</v>
      </c>
    </row>
    <row r="13" spans="1:22" ht="14.25" customHeight="1" x14ac:dyDescent="0.25">
      <c r="A13" s="123" t="str">
        <f>(IF(Info!$B10&lt;&gt;"",Info!$B10,""))</f>
        <v>Brady Anderson</v>
      </c>
      <c r="B13" s="124">
        <v>1</v>
      </c>
      <c r="C13" s="124">
        <v>1</v>
      </c>
      <c r="D13" s="124">
        <v>0</v>
      </c>
      <c r="E13" s="124">
        <v>4</v>
      </c>
      <c r="F13" s="124">
        <v>3</v>
      </c>
      <c r="G13" s="124">
        <v>1</v>
      </c>
      <c r="H13" s="124">
        <v>1</v>
      </c>
      <c r="I13" s="124">
        <v>1</v>
      </c>
      <c r="J13" s="124">
        <v>2</v>
      </c>
      <c r="K13" s="124">
        <v>5</v>
      </c>
      <c r="L13" s="124">
        <v>3</v>
      </c>
      <c r="M13" s="124">
        <v>3</v>
      </c>
      <c r="N13" s="124">
        <v>1</v>
      </c>
      <c r="O13" s="124">
        <v>1</v>
      </c>
      <c r="P13" s="125">
        <f t="shared" si="0"/>
        <v>27</v>
      </c>
      <c r="Q13" s="126">
        <f t="shared" si="1"/>
        <v>0.93103448275862066</v>
      </c>
    </row>
    <row r="14" spans="1:22" ht="13.5" customHeight="1" x14ac:dyDescent="0.25">
      <c r="A14" s="123" t="str">
        <f>(IF(Info!$B11&lt;&gt;"",Info!$B11,""))</f>
        <v>Rafael Palmero</v>
      </c>
      <c r="B14" s="124">
        <v>1</v>
      </c>
      <c r="C14" s="124">
        <v>1</v>
      </c>
      <c r="D14" s="124">
        <v>2</v>
      </c>
      <c r="E14" s="124">
        <v>4</v>
      </c>
      <c r="F14" s="124">
        <v>3</v>
      </c>
      <c r="G14" s="124">
        <v>1</v>
      </c>
      <c r="H14" s="124">
        <v>1</v>
      </c>
      <c r="I14" s="124">
        <v>1</v>
      </c>
      <c r="J14" s="124">
        <v>2</v>
      </c>
      <c r="K14" s="124">
        <v>3</v>
      </c>
      <c r="L14" s="124">
        <v>3</v>
      </c>
      <c r="M14" s="124">
        <v>3</v>
      </c>
      <c r="N14" s="124">
        <v>1</v>
      </c>
      <c r="O14" s="124">
        <v>1</v>
      </c>
      <c r="P14" s="125">
        <f t="shared" si="0"/>
        <v>27</v>
      </c>
      <c r="Q14" s="126">
        <f t="shared" si="1"/>
        <v>0.93103448275862066</v>
      </c>
    </row>
    <row r="15" spans="1:22" ht="12.75" customHeight="1" x14ac:dyDescent="0.25">
      <c r="A15" s="123" t="str">
        <f>(IF(Info!$B12&lt;&gt;"",Info!$B12,""))</f>
        <v>Melvin Mora</v>
      </c>
      <c r="B15" s="124">
        <v>1</v>
      </c>
      <c r="C15" s="124">
        <v>1</v>
      </c>
      <c r="D15" s="124">
        <v>0</v>
      </c>
      <c r="E15" s="124">
        <v>3</v>
      </c>
      <c r="F15" s="124">
        <v>2</v>
      </c>
      <c r="G15" s="124">
        <v>1</v>
      </c>
      <c r="H15" s="124">
        <v>1</v>
      </c>
      <c r="I15" s="124">
        <v>1</v>
      </c>
      <c r="J15" s="124">
        <v>2</v>
      </c>
      <c r="K15" s="124">
        <v>5</v>
      </c>
      <c r="L15" s="124">
        <v>1</v>
      </c>
      <c r="M15" s="124">
        <v>3</v>
      </c>
      <c r="N15" s="124">
        <v>1</v>
      </c>
      <c r="O15" s="124">
        <v>1</v>
      </c>
      <c r="P15" s="125">
        <f t="shared" si="0"/>
        <v>23</v>
      </c>
      <c r="Q15" s="126">
        <f t="shared" si="1"/>
        <v>0.7931034482758621</v>
      </c>
    </row>
    <row r="16" spans="1:22" ht="13.5" customHeight="1" x14ac:dyDescent="0.25">
      <c r="A16" s="123" t="str">
        <f>(IF(Info!$B13&lt;&gt;"",Info!$B13,""))</f>
        <v>Dave McNally</v>
      </c>
      <c r="B16" s="124">
        <v>0</v>
      </c>
      <c r="C16" s="124">
        <v>1</v>
      </c>
      <c r="D16" s="124">
        <v>2</v>
      </c>
      <c r="E16" s="124">
        <v>4</v>
      </c>
      <c r="F16" s="124">
        <v>3</v>
      </c>
      <c r="G16" s="124">
        <v>1</v>
      </c>
      <c r="H16" s="124">
        <v>1</v>
      </c>
      <c r="I16" s="124">
        <v>1</v>
      </c>
      <c r="J16" s="124">
        <v>2</v>
      </c>
      <c r="K16" s="124">
        <v>3</v>
      </c>
      <c r="L16" s="124">
        <v>3</v>
      </c>
      <c r="M16" s="124">
        <v>3</v>
      </c>
      <c r="N16" s="124">
        <v>1</v>
      </c>
      <c r="O16" s="124">
        <v>1</v>
      </c>
      <c r="P16" s="125">
        <f t="shared" si="0"/>
        <v>26</v>
      </c>
      <c r="Q16" s="126">
        <f t="shared" si="1"/>
        <v>0.89655172413793105</v>
      </c>
    </row>
    <row r="17" spans="1:17" ht="12.75" customHeight="1" x14ac:dyDescent="0.25">
      <c r="A17" s="123" t="str">
        <f>(IF(Info!$B14&lt;&gt;"",Info!$B14,""))</f>
        <v>Ken Singleton</v>
      </c>
      <c r="B17" s="124">
        <v>1</v>
      </c>
      <c r="C17" s="124">
        <v>1</v>
      </c>
      <c r="D17" s="124">
        <v>2</v>
      </c>
      <c r="E17" s="124">
        <v>4</v>
      </c>
      <c r="F17" s="124">
        <v>2</v>
      </c>
      <c r="G17" s="124">
        <v>1</v>
      </c>
      <c r="H17" s="124">
        <v>1</v>
      </c>
      <c r="I17" s="124">
        <v>1</v>
      </c>
      <c r="J17" s="124">
        <v>2</v>
      </c>
      <c r="K17" s="124">
        <v>5</v>
      </c>
      <c r="L17" s="124">
        <v>3</v>
      </c>
      <c r="M17" s="124">
        <v>1</v>
      </c>
      <c r="N17" s="124">
        <v>1</v>
      </c>
      <c r="O17" s="124">
        <v>1</v>
      </c>
      <c r="P17" s="125">
        <f t="shared" si="0"/>
        <v>26</v>
      </c>
      <c r="Q17" s="126">
        <f t="shared" si="1"/>
        <v>0.89655172413793105</v>
      </c>
    </row>
    <row r="18" spans="1:17" ht="13.5" customHeight="1" x14ac:dyDescent="0.25">
      <c r="A18" s="123" t="str">
        <f>(IF(Info!$B15&lt;&gt;"",Info!$B15,""))</f>
        <v>Jonathan Schoop</v>
      </c>
      <c r="B18" s="124">
        <v>1</v>
      </c>
      <c r="C18" s="124">
        <v>1</v>
      </c>
      <c r="D18" s="124">
        <v>2</v>
      </c>
      <c r="E18" s="124">
        <v>4</v>
      </c>
      <c r="F18" s="124">
        <v>2</v>
      </c>
      <c r="G18" s="124">
        <v>1</v>
      </c>
      <c r="H18" s="124">
        <v>1</v>
      </c>
      <c r="I18" s="124">
        <v>1</v>
      </c>
      <c r="J18" s="124">
        <v>2</v>
      </c>
      <c r="K18" s="124">
        <v>5</v>
      </c>
      <c r="L18" s="124">
        <v>1</v>
      </c>
      <c r="M18" s="124">
        <v>3</v>
      </c>
      <c r="N18" s="124">
        <v>1</v>
      </c>
      <c r="O18" s="124">
        <v>1</v>
      </c>
      <c r="P18" s="125">
        <f t="shared" si="0"/>
        <v>26</v>
      </c>
      <c r="Q18" s="126">
        <f t="shared" si="1"/>
        <v>0.89655172413793105</v>
      </c>
    </row>
    <row r="19" spans="1:17" ht="13.5" customHeight="1" x14ac:dyDescent="0.25">
      <c r="A19" s="123" t="str">
        <f>(IF(Info!$B16&lt;&gt;"",Info!$B16,""))</f>
        <v>Paul Blair</v>
      </c>
      <c r="B19" s="124">
        <v>1</v>
      </c>
      <c r="C19" s="124">
        <v>1</v>
      </c>
      <c r="D19" s="124">
        <v>2</v>
      </c>
      <c r="E19" s="124">
        <v>4</v>
      </c>
      <c r="F19" s="124">
        <v>3</v>
      </c>
      <c r="G19" s="124">
        <v>1</v>
      </c>
      <c r="H19" s="124">
        <v>1</v>
      </c>
      <c r="I19" s="124">
        <v>1</v>
      </c>
      <c r="J19" s="124">
        <v>2</v>
      </c>
      <c r="K19" s="124">
        <v>5</v>
      </c>
      <c r="L19" s="124">
        <v>3</v>
      </c>
      <c r="M19" s="124">
        <v>3</v>
      </c>
      <c r="N19" s="124">
        <v>1</v>
      </c>
      <c r="O19" s="124">
        <v>1</v>
      </c>
      <c r="P19" s="125">
        <f t="shared" si="0"/>
        <v>29</v>
      </c>
      <c r="Q19" s="126">
        <f t="shared" si="1"/>
        <v>1</v>
      </c>
    </row>
    <row r="20" spans="1:17" ht="12.75" customHeight="1" x14ac:dyDescent="0.25">
      <c r="A20" s="123" t="str">
        <f>(IF(Info!$B17&lt;&gt;"",Info!$B17,""))</f>
        <v>Mark Belanger</v>
      </c>
      <c r="B20" s="124">
        <v>1</v>
      </c>
      <c r="C20" s="124">
        <v>1</v>
      </c>
      <c r="D20" s="124">
        <v>2</v>
      </c>
      <c r="E20" s="124">
        <v>4</v>
      </c>
      <c r="F20" s="124">
        <v>3</v>
      </c>
      <c r="G20" s="124">
        <v>1</v>
      </c>
      <c r="H20" s="124">
        <v>1</v>
      </c>
      <c r="I20" s="124">
        <v>1</v>
      </c>
      <c r="J20" s="124">
        <v>2</v>
      </c>
      <c r="K20" s="124">
        <v>5</v>
      </c>
      <c r="L20" s="124">
        <v>3</v>
      </c>
      <c r="M20" s="124">
        <v>3</v>
      </c>
      <c r="N20" s="124">
        <v>1</v>
      </c>
      <c r="O20" s="124">
        <v>1</v>
      </c>
      <c r="P20" s="125">
        <f t="shared" si="0"/>
        <v>29</v>
      </c>
      <c r="Q20" s="126">
        <f t="shared" si="1"/>
        <v>1</v>
      </c>
    </row>
    <row r="21" spans="1:17" ht="13.5" customHeight="1" x14ac:dyDescent="0.25">
      <c r="A21" s="123" t="str">
        <f>(IF(Info!$B18&lt;&gt;"",Info!$B18,""))</f>
        <v>Davey Johnson</v>
      </c>
      <c r="B21" s="124">
        <v>1</v>
      </c>
      <c r="C21" s="124">
        <v>1</v>
      </c>
      <c r="D21" s="124">
        <v>2</v>
      </c>
      <c r="E21" s="124">
        <v>4</v>
      </c>
      <c r="F21" s="124">
        <v>3</v>
      </c>
      <c r="G21" s="124">
        <v>1</v>
      </c>
      <c r="H21" s="124">
        <v>1</v>
      </c>
      <c r="I21" s="124">
        <v>1</v>
      </c>
      <c r="J21" s="124">
        <v>2</v>
      </c>
      <c r="K21" s="124">
        <v>5</v>
      </c>
      <c r="L21" s="124">
        <v>3</v>
      </c>
      <c r="M21" s="124">
        <v>2</v>
      </c>
      <c r="N21" s="124">
        <v>1</v>
      </c>
      <c r="O21" s="124">
        <v>1</v>
      </c>
      <c r="P21" s="125">
        <f t="shared" si="0"/>
        <v>28</v>
      </c>
      <c r="Q21" s="126">
        <f t="shared" si="1"/>
        <v>0.96551724137931039</v>
      </c>
    </row>
    <row r="22" spans="1:17" ht="14.25" customHeight="1" x14ac:dyDescent="0.25">
      <c r="A22" s="123" t="str">
        <f>(IF(Info!$B19&lt;&gt;"",Info!$B19,""))</f>
        <v>Miguel Tejada</v>
      </c>
      <c r="B22" s="124">
        <v>1</v>
      </c>
      <c r="C22" s="124">
        <v>1</v>
      </c>
      <c r="D22" s="124">
        <v>2</v>
      </c>
      <c r="E22" s="124">
        <v>4</v>
      </c>
      <c r="F22" s="124">
        <v>2</v>
      </c>
      <c r="G22" s="124">
        <v>1</v>
      </c>
      <c r="H22" s="124">
        <v>0</v>
      </c>
      <c r="I22" s="124">
        <v>1</v>
      </c>
      <c r="J22" s="124">
        <v>2</v>
      </c>
      <c r="K22" s="124">
        <v>4</v>
      </c>
      <c r="L22" s="124">
        <v>1</v>
      </c>
      <c r="M22" s="124">
        <v>1</v>
      </c>
      <c r="N22" s="124">
        <v>1</v>
      </c>
      <c r="O22" s="124">
        <v>1</v>
      </c>
      <c r="P22" s="125">
        <f t="shared" si="0"/>
        <v>22</v>
      </c>
      <c r="Q22" s="126">
        <f t="shared" si="1"/>
        <v>0.75862068965517238</v>
      </c>
    </row>
    <row r="23" spans="1:17" ht="14.25" customHeight="1" x14ac:dyDescent="0.25">
      <c r="A23" s="123" t="str">
        <f>(IF(Info!$B20&lt;&gt;"",Info!$B20,""))</f>
        <v>Adam Jones</v>
      </c>
      <c r="B23" s="124">
        <v>1</v>
      </c>
      <c r="C23" s="124">
        <v>1</v>
      </c>
      <c r="D23" s="124">
        <v>2</v>
      </c>
      <c r="E23" s="124">
        <v>4</v>
      </c>
      <c r="F23" s="124">
        <v>3</v>
      </c>
      <c r="G23" s="124">
        <v>1</v>
      </c>
      <c r="H23" s="124">
        <v>1</v>
      </c>
      <c r="I23" s="124">
        <v>1</v>
      </c>
      <c r="J23" s="124">
        <v>2</v>
      </c>
      <c r="K23" s="124">
        <v>5</v>
      </c>
      <c r="L23" s="124">
        <v>2</v>
      </c>
      <c r="M23" s="124">
        <v>2</v>
      </c>
      <c r="N23" s="124">
        <v>1</v>
      </c>
      <c r="O23" s="124">
        <v>1</v>
      </c>
      <c r="P23" s="125">
        <f t="shared" si="0"/>
        <v>27</v>
      </c>
      <c r="Q23" s="126">
        <f t="shared" si="1"/>
        <v>0.93103448275862066</v>
      </c>
    </row>
    <row r="24" spans="1:17" ht="12.75" customHeight="1" x14ac:dyDescent="0.25">
      <c r="A24" s="123" t="str">
        <f>(IF(Info!$B21&lt;&gt;"",Info!$B21,""))</f>
        <v/>
      </c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5" t="str">
        <f t="shared" si="0"/>
        <v/>
      </c>
      <c r="Q24" s="126" t="str">
        <f t="shared" si="1"/>
        <v/>
      </c>
    </row>
    <row r="25" spans="1:17" ht="13.5" customHeight="1" x14ac:dyDescent="0.25">
      <c r="A25" s="123" t="str">
        <f>(IF(Info!$B22&lt;&gt;"",Info!$B22,""))</f>
        <v/>
      </c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5" t="str">
        <f t="shared" si="0"/>
        <v/>
      </c>
      <c r="Q25" s="126" t="str">
        <f t="shared" si="1"/>
        <v/>
      </c>
    </row>
    <row r="26" spans="1:17" x14ac:dyDescent="0.25">
      <c r="A26" s="123" t="str">
        <f>(IF(Info!$B23&lt;&gt;"",Info!$B23,""))</f>
        <v/>
      </c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5" t="str">
        <f t="shared" si="0"/>
        <v/>
      </c>
      <c r="Q26" s="126" t="str">
        <f t="shared" si="1"/>
        <v/>
      </c>
    </row>
    <row r="27" spans="1:17" x14ac:dyDescent="0.25">
      <c r="A27" s="123" t="str">
        <f>(IF(Info!$B24&lt;&gt;"",Info!$B24,""))</f>
        <v/>
      </c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5" t="str">
        <f t="shared" si="0"/>
        <v/>
      </c>
      <c r="Q27" s="126" t="str">
        <f t="shared" si="1"/>
        <v/>
      </c>
    </row>
    <row r="28" spans="1:17" x14ac:dyDescent="0.25">
      <c r="A28" s="123" t="str">
        <f>(IF(Info!$B25&lt;&gt;"",Info!$B25,""))</f>
        <v/>
      </c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5" t="str">
        <f t="shared" si="0"/>
        <v/>
      </c>
      <c r="Q28" s="126" t="str">
        <f t="shared" si="1"/>
        <v/>
      </c>
    </row>
    <row r="29" spans="1:17" x14ac:dyDescent="0.25">
      <c r="A29" s="123" t="str">
        <f>(IF(Info!$B26&lt;&gt;"",Info!$B26,""))</f>
        <v/>
      </c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5" t="str">
        <f t="shared" si="0"/>
        <v/>
      </c>
      <c r="Q29" s="126" t="str">
        <f t="shared" si="1"/>
        <v/>
      </c>
    </row>
    <row r="30" spans="1:17" x14ac:dyDescent="0.25">
      <c r="A30" s="123" t="str">
        <f>(IF(Info!$B27&lt;&gt;"",Info!$B27,""))</f>
        <v/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5" t="str">
        <f t="shared" si="0"/>
        <v/>
      </c>
      <c r="Q30" s="126" t="str">
        <f t="shared" si="1"/>
        <v/>
      </c>
    </row>
    <row r="31" spans="1:17" x14ac:dyDescent="0.25">
      <c r="A31" s="123" t="str">
        <f>(IF(Info!$B28&lt;&gt;"",Info!$B28,""))</f>
        <v/>
      </c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5" t="str">
        <f t="shared" si="0"/>
        <v/>
      </c>
      <c r="Q31" s="126" t="str">
        <f t="shared" si="1"/>
        <v/>
      </c>
    </row>
    <row r="32" spans="1:17" x14ac:dyDescent="0.25">
      <c r="A32" s="123" t="str">
        <f>(IF(Info!$B29&lt;&gt;"",Info!$B29,""))</f>
        <v/>
      </c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5" t="str">
        <f t="shared" si="0"/>
        <v/>
      </c>
      <c r="Q32" s="126" t="str">
        <f t="shared" si="1"/>
        <v/>
      </c>
    </row>
    <row r="33" spans="1:17" x14ac:dyDescent="0.25">
      <c r="A33" s="123" t="str">
        <f>(IF(Info!$B30&lt;&gt;"",Info!$B30,""))</f>
        <v/>
      </c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5" t="str">
        <f t="shared" si="0"/>
        <v/>
      </c>
      <c r="Q33" s="126" t="str">
        <f t="shared" si="1"/>
        <v/>
      </c>
    </row>
    <row r="34" spans="1:17" x14ac:dyDescent="0.25">
      <c r="A34" s="123" t="str">
        <f>(IF(Info!$B31&lt;&gt;"",Info!$B31,""))</f>
        <v/>
      </c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5" t="str">
        <f t="shared" si="0"/>
        <v/>
      </c>
      <c r="Q34" s="126" t="str">
        <f t="shared" si="1"/>
        <v/>
      </c>
    </row>
    <row r="35" spans="1:17" x14ac:dyDescent="0.25">
      <c r="A35" s="123" t="str">
        <f>(IF(Info!$B32&lt;&gt;"",Info!$B32,""))</f>
        <v/>
      </c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5" t="str">
        <f t="shared" si="0"/>
        <v/>
      </c>
      <c r="Q35" s="126" t="str">
        <f t="shared" si="1"/>
        <v/>
      </c>
    </row>
    <row r="36" spans="1:17" x14ac:dyDescent="0.25">
      <c r="A36" s="123" t="str">
        <f>(IF(Info!$B33&lt;&gt;"",Info!$B33,""))</f>
        <v/>
      </c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5" t="str">
        <f t="shared" si="0"/>
        <v/>
      </c>
      <c r="Q36" s="126" t="str">
        <f t="shared" si="1"/>
        <v/>
      </c>
    </row>
    <row r="37" spans="1:17" x14ac:dyDescent="0.25">
      <c r="A37" s="123" t="str">
        <f>(IF(Info!$B34&lt;&gt;"",Info!$B34,""))</f>
        <v/>
      </c>
      <c r="B37" s="124"/>
      <c r="C37" s="124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5" t="str">
        <f t="shared" si="0"/>
        <v/>
      </c>
      <c r="Q37" s="126" t="str">
        <f t="shared" si="1"/>
        <v/>
      </c>
    </row>
    <row r="38" spans="1:17" x14ac:dyDescent="0.25">
      <c r="A38" s="123" t="str">
        <f>(IF(Info!$B35&lt;&gt;"",Info!$B35,""))</f>
        <v/>
      </c>
      <c r="B38" s="124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5" t="str">
        <f t="shared" si="0"/>
        <v/>
      </c>
      <c r="Q38" s="126" t="str">
        <f t="shared" si="1"/>
        <v/>
      </c>
    </row>
    <row r="39" spans="1:17" x14ac:dyDescent="0.25">
      <c r="A39" s="123" t="str">
        <f>(IF(Info!$B36&lt;&gt;"",Info!$B36,""))</f>
        <v/>
      </c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5" t="str">
        <f t="shared" si="0"/>
        <v/>
      </c>
      <c r="Q39" s="126" t="str">
        <f t="shared" si="1"/>
        <v/>
      </c>
    </row>
    <row r="40" spans="1:17" x14ac:dyDescent="0.25">
      <c r="A40" s="123" t="str">
        <f>(IF(Info!$B37&lt;&gt;"",Info!$B37,""))</f>
        <v/>
      </c>
      <c r="B40" s="124"/>
      <c r="C40" s="124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5" t="str">
        <f t="shared" si="0"/>
        <v/>
      </c>
      <c r="Q40" s="126" t="str">
        <f t="shared" si="1"/>
        <v/>
      </c>
    </row>
    <row r="41" spans="1:17" x14ac:dyDescent="0.25">
      <c r="A41" s="123" t="str">
        <f>(IF(Info!$B38&lt;&gt;"",Info!$B38,""))</f>
        <v/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5" t="str">
        <f t="shared" si="0"/>
        <v/>
      </c>
      <c r="Q41" s="126" t="str">
        <f t="shared" si="1"/>
        <v/>
      </c>
    </row>
    <row r="42" spans="1:17" x14ac:dyDescent="0.25">
      <c r="A42" s="123" t="str">
        <f>(IF(Info!$B39&lt;&gt;"",Info!$B39,""))</f>
        <v/>
      </c>
      <c r="B42" s="124"/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5" t="str">
        <f t="shared" si="0"/>
        <v/>
      </c>
      <c r="Q42" s="126" t="str">
        <f t="shared" si="1"/>
        <v/>
      </c>
    </row>
    <row r="43" spans="1:17" x14ac:dyDescent="0.25">
      <c r="A43" s="123" t="str">
        <f>(IF(Info!$B40&lt;&gt;"",Info!$B40,""))</f>
        <v/>
      </c>
      <c r="B43" s="124"/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5" t="str">
        <f t="shared" si="0"/>
        <v/>
      </c>
      <c r="Q43" s="126" t="str">
        <f t="shared" si="1"/>
        <v/>
      </c>
    </row>
    <row r="44" spans="1:17" x14ac:dyDescent="0.25">
      <c r="A44" s="123" t="str">
        <f>(IF(Info!$B41&lt;&gt;"",Info!$B41,""))</f>
        <v/>
      </c>
      <c r="B44" s="124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5" t="str">
        <f t="shared" si="0"/>
        <v/>
      </c>
      <c r="Q44" s="126" t="str">
        <f t="shared" si="1"/>
        <v/>
      </c>
    </row>
    <row r="45" spans="1:17" x14ac:dyDescent="0.25">
      <c r="A45" s="123" t="str">
        <f>(IF(Info!$B42&lt;&gt;"",Info!$B42,""))</f>
        <v/>
      </c>
      <c r="B45" s="124"/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5" t="str">
        <f t="shared" si="0"/>
        <v/>
      </c>
      <c r="Q45" s="126" t="str">
        <f t="shared" si="1"/>
        <v/>
      </c>
    </row>
    <row r="46" spans="1:17" x14ac:dyDescent="0.25">
      <c r="A46" s="123" t="str">
        <f>(IF(Info!$B43&lt;&gt;"",Info!$B43,""))</f>
        <v/>
      </c>
      <c r="B46" s="124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5" t="str">
        <f t="shared" si="0"/>
        <v/>
      </c>
      <c r="Q46" s="126" t="str">
        <f t="shared" si="1"/>
        <v/>
      </c>
    </row>
    <row r="47" spans="1:17" x14ac:dyDescent="0.25">
      <c r="A47" s="123" t="str">
        <f>(IF(Info!$B44&lt;&gt;"",Info!$B44,""))</f>
        <v/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5" t="str">
        <f t="shared" si="0"/>
        <v/>
      </c>
      <c r="Q47" s="126" t="str">
        <f t="shared" si="1"/>
        <v/>
      </c>
    </row>
    <row r="48" spans="1:17" x14ac:dyDescent="0.25">
      <c r="A48" s="123" t="str">
        <f>(IF(Info!$B45&lt;&gt;"",Info!$B45,""))</f>
        <v/>
      </c>
      <c r="B48" s="124"/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5" t="str">
        <f t="shared" si="0"/>
        <v/>
      </c>
      <c r="Q48" s="126" t="str">
        <f t="shared" si="1"/>
        <v/>
      </c>
    </row>
    <row r="49" spans="1:17" x14ac:dyDescent="0.25">
      <c r="A49" s="123" t="str">
        <f>(IF(Info!$B46&lt;&gt;"",Info!$B46,""))</f>
        <v/>
      </c>
      <c r="B49" s="124"/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5" t="str">
        <f t="shared" si="0"/>
        <v/>
      </c>
      <c r="Q49" s="126" t="str">
        <f t="shared" si="1"/>
        <v/>
      </c>
    </row>
    <row r="50" spans="1:17" x14ac:dyDescent="0.25">
      <c r="A50" s="123" t="str">
        <f>(IF(Info!$B47&lt;&gt;"",Info!$B47,""))</f>
        <v/>
      </c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5" t="str">
        <f t="shared" si="0"/>
        <v/>
      </c>
      <c r="Q50" s="126" t="str">
        <f t="shared" si="1"/>
        <v/>
      </c>
    </row>
    <row r="51" spans="1:17" x14ac:dyDescent="0.25">
      <c r="A51" s="123" t="str">
        <f>(IF(Info!$B48&lt;&gt;"",Info!$B48,""))</f>
        <v/>
      </c>
      <c r="B51" s="124"/>
      <c r="C51" s="124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5" t="str">
        <f t="shared" si="0"/>
        <v/>
      </c>
      <c r="Q51" s="126" t="str">
        <f t="shared" si="1"/>
        <v/>
      </c>
    </row>
    <row r="52" spans="1:17" x14ac:dyDescent="0.25">
      <c r="P52" s="125" t="str">
        <f t="shared" ref="P52:P70" si="2">IF(COUNTA(B52:O52)=0,"",SUM(B52:O52))</f>
        <v/>
      </c>
      <c r="Q52" s="126" t="str">
        <f t="shared" ref="Q52:Q70" si="3">IF(COUNTA(B52:O52)=0,"",SUM(B52:O52)/$P$4)</f>
        <v/>
      </c>
    </row>
    <row r="53" spans="1:17" x14ac:dyDescent="0.25">
      <c r="P53" s="125" t="str">
        <f t="shared" si="2"/>
        <v/>
      </c>
      <c r="Q53" s="126" t="str">
        <f t="shared" si="3"/>
        <v/>
      </c>
    </row>
    <row r="54" spans="1:17" x14ac:dyDescent="0.25">
      <c r="P54" s="125" t="str">
        <f t="shared" si="2"/>
        <v/>
      </c>
      <c r="Q54" s="126" t="str">
        <f t="shared" si="3"/>
        <v/>
      </c>
    </row>
    <row r="55" spans="1:17" x14ac:dyDescent="0.25">
      <c r="P55" s="125" t="str">
        <f t="shared" si="2"/>
        <v/>
      </c>
      <c r="Q55" s="126" t="str">
        <f t="shared" si="3"/>
        <v/>
      </c>
    </row>
    <row r="56" spans="1:17" x14ac:dyDescent="0.25">
      <c r="P56" s="125" t="str">
        <f t="shared" si="2"/>
        <v/>
      </c>
      <c r="Q56" s="126" t="str">
        <f t="shared" si="3"/>
        <v/>
      </c>
    </row>
    <row r="57" spans="1:17" x14ac:dyDescent="0.25">
      <c r="P57" s="125" t="str">
        <f t="shared" si="2"/>
        <v/>
      </c>
      <c r="Q57" s="126" t="str">
        <f t="shared" si="3"/>
        <v/>
      </c>
    </row>
    <row r="58" spans="1:17" x14ac:dyDescent="0.25">
      <c r="P58" s="125" t="str">
        <f t="shared" si="2"/>
        <v/>
      </c>
      <c r="Q58" s="126" t="str">
        <f t="shared" si="3"/>
        <v/>
      </c>
    </row>
    <row r="59" spans="1:17" x14ac:dyDescent="0.25">
      <c r="P59" s="125" t="str">
        <f t="shared" si="2"/>
        <v/>
      </c>
      <c r="Q59" s="126" t="str">
        <f t="shared" si="3"/>
        <v/>
      </c>
    </row>
    <row r="60" spans="1:17" x14ac:dyDescent="0.25">
      <c r="P60" s="125" t="str">
        <f t="shared" si="2"/>
        <v/>
      </c>
      <c r="Q60" s="126" t="str">
        <f t="shared" si="3"/>
        <v/>
      </c>
    </row>
    <row r="61" spans="1:17" x14ac:dyDescent="0.25">
      <c r="P61" s="125" t="str">
        <f t="shared" si="2"/>
        <v/>
      </c>
      <c r="Q61" s="126" t="str">
        <f t="shared" si="3"/>
        <v/>
      </c>
    </row>
    <row r="62" spans="1:17" x14ac:dyDescent="0.25">
      <c r="P62" s="125" t="str">
        <f t="shared" si="2"/>
        <v/>
      </c>
      <c r="Q62" s="126" t="str">
        <f t="shared" si="3"/>
        <v/>
      </c>
    </row>
    <row r="63" spans="1:17" x14ac:dyDescent="0.25">
      <c r="P63" s="125" t="str">
        <f t="shared" si="2"/>
        <v/>
      </c>
      <c r="Q63" s="126" t="str">
        <f t="shared" si="3"/>
        <v/>
      </c>
    </row>
    <row r="64" spans="1:17" x14ac:dyDescent="0.25">
      <c r="P64" s="125" t="str">
        <f t="shared" si="2"/>
        <v/>
      </c>
      <c r="Q64" s="126" t="str">
        <f t="shared" si="3"/>
        <v/>
      </c>
    </row>
    <row r="65" spans="16:17" x14ac:dyDescent="0.25">
      <c r="P65" s="125" t="str">
        <f t="shared" si="2"/>
        <v/>
      </c>
      <c r="Q65" s="126" t="str">
        <f t="shared" si="3"/>
        <v/>
      </c>
    </row>
    <row r="66" spans="16:17" x14ac:dyDescent="0.25">
      <c r="P66" s="125" t="str">
        <f t="shared" si="2"/>
        <v/>
      </c>
      <c r="Q66" s="126" t="str">
        <f t="shared" si="3"/>
        <v/>
      </c>
    </row>
    <row r="67" spans="16:17" x14ac:dyDescent="0.25">
      <c r="P67" s="125" t="str">
        <f t="shared" si="2"/>
        <v/>
      </c>
      <c r="Q67" s="126" t="str">
        <f t="shared" si="3"/>
        <v/>
      </c>
    </row>
    <row r="68" spans="16:17" x14ac:dyDescent="0.25">
      <c r="P68" s="125" t="str">
        <f t="shared" si="2"/>
        <v/>
      </c>
      <c r="Q68" s="126" t="str">
        <f t="shared" si="3"/>
        <v/>
      </c>
    </row>
    <row r="69" spans="16:17" x14ac:dyDescent="0.25">
      <c r="P69" s="125" t="str">
        <f t="shared" si="2"/>
        <v/>
      </c>
      <c r="Q69" s="126" t="str">
        <f t="shared" si="3"/>
        <v/>
      </c>
    </row>
    <row r="70" spans="16:17" x14ac:dyDescent="0.25">
      <c r="P70" s="125" t="str">
        <f t="shared" si="2"/>
        <v/>
      </c>
      <c r="Q70" s="126" t="str">
        <f t="shared" si="3"/>
        <v/>
      </c>
    </row>
    <row r="71" spans="16:17" x14ac:dyDescent="0.25">
      <c r="P71" s="125" t="str">
        <f t="shared" ref="P71:P134" si="4">IF(COUNTA(B71:O71)=0,"",SUM(B71:O71))</f>
        <v/>
      </c>
      <c r="Q71" s="126" t="str">
        <f t="shared" ref="Q71:Q134" si="5">IF(COUNTA(B71:O71)=0,"",SUM(B71:O71)/$P$4)</f>
        <v/>
      </c>
    </row>
    <row r="72" spans="16:17" x14ac:dyDescent="0.25">
      <c r="P72" s="125" t="str">
        <f t="shared" si="4"/>
        <v/>
      </c>
      <c r="Q72" s="126" t="str">
        <f t="shared" si="5"/>
        <v/>
      </c>
    </row>
    <row r="73" spans="16:17" x14ac:dyDescent="0.25">
      <c r="P73" s="125" t="str">
        <f t="shared" si="4"/>
        <v/>
      </c>
      <c r="Q73" s="126" t="str">
        <f t="shared" si="5"/>
        <v/>
      </c>
    </row>
    <row r="74" spans="16:17" x14ac:dyDescent="0.25">
      <c r="P74" s="125" t="str">
        <f t="shared" si="4"/>
        <v/>
      </c>
      <c r="Q74" s="126" t="str">
        <f t="shared" si="5"/>
        <v/>
      </c>
    </row>
    <row r="75" spans="16:17" x14ac:dyDescent="0.25">
      <c r="P75" s="125" t="str">
        <f t="shared" si="4"/>
        <v/>
      </c>
      <c r="Q75" s="126" t="str">
        <f t="shared" si="5"/>
        <v/>
      </c>
    </row>
    <row r="76" spans="16:17" x14ac:dyDescent="0.25">
      <c r="P76" s="125" t="str">
        <f t="shared" si="4"/>
        <v/>
      </c>
      <c r="Q76" s="126" t="str">
        <f t="shared" si="5"/>
        <v/>
      </c>
    </row>
    <row r="77" spans="16:17" x14ac:dyDescent="0.25">
      <c r="P77" s="125" t="str">
        <f t="shared" si="4"/>
        <v/>
      </c>
      <c r="Q77" s="126" t="str">
        <f t="shared" si="5"/>
        <v/>
      </c>
    </row>
    <row r="78" spans="16:17" x14ac:dyDescent="0.25">
      <c r="P78" s="125" t="str">
        <f t="shared" si="4"/>
        <v/>
      </c>
      <c r="Q78" s="126" t="str">
        <f t="shared" si="5"/>
        <v/>
      </c>
    </row>
    <row r="79" spans="16:17" x14ac:dyDescent="0.25">
      <c r="P79" s="125" t="str">
        <f t="shared" si="4"/>
        <v/>
      </c>
      <c r="Q79" s="126" t="str">
        <f t="shared" si="5"/>
        <v/>
      </c>
    </row>
    <row r="80" spans="16:17" x14ac:dyDescent="0.25">
      <c r="P80" s="125" t="str">
        <f t="shared" si="4"/>
        <v/>
      </c>
      <c r="Q80" s="126" t="str">
        <f t="shared" si="5"/>
        <v/>
      </c>
    </row>
    <row r="81" spans="16:17" x14ac:dyDescent="0.25">
      <c r="P81" s="125" t="str">
        <f t="shared" si="4"/>
        <v/>
      </c>
      <c r="Q81" s="126" t="str">
        <f t="shared" si="5"/>
        <v/>
      </c>
    </row>
    <row r="82" spans="16:17" x14ac:dyDescent="0.25">
      <c r="P82" s="125" t="str">
        <f t="shared" si="4"/>
        <v/>
      </c>
      <c r="Q82" s="126" t="str">
        <f t="shared" si="5"/>
        <v/>
      </c>
    </row>
    <row r="83" spans="16:17" x14ac:dyDescent="0.25">
      <c r="P83" s="125" t="str">
        <f t="shared" si="4"/>
        <v/>
      </c>
      <c r="Q83" s="126" t="str">
        <f t="shared" si="5"/>
        <v/>
      </c>
    </row>
    <row r="84" spans="16:17" x14ac:dyDescent="0.25">
      <c r="P84" s="125" t="str">
        <f t="shared" si="4"/>
        <v/>
      </c>
      <c r="Q84" s="126" t="str">
        <f t="shared" si="5"/>
        <v/>
      </c>
    </row>
    <row r="85" spans="16:17" x14ac:dyDescent="0.25">
      <c r="P85" s="125" t="str">
        <f t="shared" si="4"/>
        <v/>
      </c>
      <c r="Q85" s="126" t="str">
        <f t="shared" si="5"/>
        <v/>
      </c>
    </row>
    <row r="86" spans="16:17" x14ac:dyDescent="0.25">
      <c r="P86" s="125" t="str">
        <f t="shared" si="4"/>
        <v/>
      </c>
      <c r="Q86" s="126" t="str">
        <f t="shared" si="5"/>
        <v/>
      </c>
    </row>
    <row r="87" spans="16:17" x14ac:dyDescent="0.25">
      <c r="P87" s="125" t="str">
        <f t="shared" si="4"/>
        <v/>
      </c>
      <c r="Q87" s="126" t="str">
        <f t="shared" si="5"/>
        <v/>
      </c>
    </row>
    <row r="88" spans="16:17" x14ac:dyDescent="0.25">
      <c r="P88" s="125" t="str">
        <f t="shared" si="4"/>
        <v/>
      </c>
      <c r="Q88" s="126" t="str">
        <f t="shared" si="5"/>
        <v/>
      </c>
    </row>
    <row r="89" spans="16:17" x14ac:dyDescent="0.25">
      <c r="P89" s="125" t="str">
        <f t="shared" si="4"/>
        <v/>
      </c>
      <c r="Q89" s="126" t="str">
        <f t="shared" si="5"/>
        <v/>
      </c>
    </row>
    <row r="90" spans="16:17" x14ac:dyDescent="0.25">
      <c r="P90" s="125" t="str">
        <f t="shared" si="4"/>
        <v/>
      </c>
      <c r="Q90" s="126" t="str">
        <f t="shared" si="5"/>
        <v/>
      </c>
    </row>
    <row r="91" spans="16:17" x14ac:dyDescent="0.25">
      <c r="P91" s="125" t="str">
        <f t="shared" si="4"/>
        <v/>
      </c>
      <c r="Q91" s="126" t="str">
        <f t="shared" si="5"/>
        <v/>
      </c>
    </row>
    <row r="92" spans="16:17" x14ac:dyDescent="0.25">
      <c r="P92" s="125" t="str">
        <f t="shared" si="4"/>
        <v/>
      </c>
      <c r="Q92" s="126" t="str">
        <f t="shared" si="5"/>
        <v/>
      </c>
    </row>
    <row r="93" spans="16:17" x14ac:dyDescent="0.25">
      <c r="P93" s="125" t="str">
        <f t="shared" si="4"/>
        <v/>
      </c>
      <c r="Q93" s="126" t="str">
        <f t="shared" si="5"/>
        <v/>
      </c>
    </row>
    <row r="94" spans="16:17" x14ac:dyDescent="0.25">
      <c r="P94" s="125" t="str">
        <f t="shared" si="4"/>
        <v/>
      </c>
      <c r="Q94" s="126" t="str">
        <f t="shared" si="5"/>
        <v/>
      </c>
    </row>
    <row r="95" spans="16:17" x14ac:dyDescent="0.25">
      <c r="P95" s="125" t="str">
        <f t="shared" si="4"/>
        <v/>
      </c>
      <c r="Q95" s="126" t="str">
        <f t="shared" si="5"/>
        <v/>
      </c>
    </row>
    <row r="96" spans="16:17" x14ac:dyDescent="0.25">
      <c r="P96" s="125" t="str">
        <f t="shared" si="4"/>
        <v/>
      </c>
      <c r="Q96" s="126" t="str">
        <f t="shared" si="5"/>
        <v/>
      </c>
    </row>
    <row r="97" spans="16:17" x14ac:dyDescent="0.25">
      <c r="P97" s="125" t="str">
        <f t="shared" si="4"/>
        <v/>
      </c>
      <c r="Q97" s="126" t="str">
        <f t="shared" si="5"/>
        <v/>
      </c>
    </row>
    <row r="98" spans="16:17" x14ac:dyDescent="0.25">
      <c r="P98" s="125" t="str">
        <f t="shared" si="4"/>
        <v/>
      </c>
      <c r="Q98" s="126" t="str">
        <f t="shared" si="5"/>
        <v/>
      </c>
    </row>
    <row r="99" spans="16:17" x14ac:dyDescent="0.25">
      <c r="P99" s="125" t="str">
        <f t="shared" si="4"/>
        <v/>
      </c>
      <c r="Q99" s="126" t="str">
        <f t="shared" si="5"/>
        <v/>
      </c>
    </row>
    <row r="100" spans="16:17" x14ac:dyDescent="0.25">
      <c r="P100" s="125" t="str">
        <f t="shared" si="4"/>
        <v/>
      </c>
      <c r="Q100" s="126" t="str">
        <f t="shared" si="5"/>
        <v/>
      </c>
    </row>
    <row r="101" spans="16:17" x14ac:dyDescent="0.25">
      <c r="P101" s="125" t="str">
        <f t="shared" si="4"/>
        <v/>
      </c>
      <c r="Q101" s="126" t="str">
        <f t="shared" si="5"/>
        <v/>
      </c>
    </row>
    <row r="102" spans="16:17" x14ac:dyDescent="0.25">
      <c r="P102" s="125" t="str">
        <f t="shared" si="4"/>
        <v/>
      </c>
      <c r="Q102" s="126" t="str">
        <f t="shared" si="5"/>
        <v/>
      </c>
    </row>
    <row r="103" spans="16:17" x14ac:dyDescent="0.25">
      <c r="P103" s="125" t="str">
        <f t="shared" si="4"/>
        <v/>
      </c>
      <c r="Q103" s="126" t="str">
        <f t="shared" si="5"/>
        <v/>
      </c>
    </row>
    <row r="104" spans="16:17" x14ac:dyDescent="0.25">
      <c r="P104" s="125" t="str">
        <f t="shared" si="4"/>
        <v/>
      </c>
      <c r="Q104" s="126" t="str">
        <f t="shared" si="5"/>
        <v/>
      </c>
    </row>
    <row r="105" spans="16:17" x14ac:dyDescent="0.25">
      <c r="P105" s="125" t="str">
        <f t="shared" si="4"/>
        <v/>
      </c>
      <c r="Q105" s="126" t="str">
        <f t="shared" si="5"/>
        <v/>
      </c>
    </row>
    <row r="106" spans="16:17" x14ac:dyDescent="0.25">
      <c r="P106" s="125" t="str">
        <f t="shared" si="4"/>
        <v/>
      </c>
      <c r="Q106" s="126" t="str">
        <f t="shared" si="5"/>
        <v/>
      </c>
    </row>
    <row r="107" spans="16:17" x14ac:dyDescent="0.25">
      <c r="P107" s="125" t="str">
        <f t="shared" si="4"/>
        <v/>
      </c>
      <c r="Q107" s="126" t="str">
        <f t="shared" si="5"/>
        <v/>
      </c>
    </row>
    <row r="108" spans="16:17" x14ac:dyDescent="0.25">
      <c r="P108" s="125" t="str">
        <f t="shared" si="4"/>
        <v/>
      </c>
      <c r="Q108" s="126" t="str">
        <f t="shared" si="5"/>
        <v/>
      </c>
    </row>
    <row r="109" spans="16:17" x14ac:dyDescent="0.25">
      <c r="P109" s="125" t="str">
        <f t="shared" si="4"/>
        <v/>
      </c>
      <c r="Q109" s="126" t="str">
        <f t="shared" si="5"/>
        <v/>
      </c>
    </row>
    <row r="110" spans="16:17" x14ac:dyDescent="0.25">
      <c r="P110" s="125" t="str">
        <f t="shared" si="4"/>
        <v/>
      </c>
      <c r="Q110" s="126" t="str">
        <f t="shared" si="5"/>
        <v/>
      </c>
    </row>
    <row r="111" spans="16:17" x14ac:dyDescent="0.25">
      <c r="P111" s="125" t="str">
        <f t="shared" si="4"/>
        <v/>
      </c>
      <c r="Q111" s="126" t="str">
        <f t="shared" si="5"/>
        <v/>
      </c>
    </row>
    <row r="112" spans="16:17" x14ac:dyDescent="0.25">
      <c r="P112" s="125" t="str">
        <f t="shared" si="4"/>
        <v/>
      </c>
      <c r="Q112" s="126" t="str">
        <f t="shared" si="5"/>
        <v/>
      </c>
    </row>
    <row r="113" spans="16:17" x14ac:dyDescent="0.25">
      <c r="P113" s="125" t="str">
        <f t="shared" si="4"/>
        <v/>
      </c>
      <c r="Q113" s="126" t="str">
        <f t="shared" si="5"/>
        <v/>
      </c>
    </row>
    <row r="114" spans="16:17" x14ac:dyDescent="0.25">
      <c r="P114" s="125" t="str">
        <f t="shared" si="4"/>
        <v/>
      </c>
      <c r="Q114" s="126" t="str">
        <f t="shared" si="5"/>
        <v/>
      </c>
    </row>
    <row r="115" spans="16:17" x14ac:dyDescent="0.25">
      <c r="P115" s="125" t="str">
        <f t="shared" si="4"/>
        <v/>
      </c>
      <c r="Q115" s="126" t="str">
        <f t="shared" si="5"/>
        <v/>
      </c>
    </row>
    <row r="116" spans="16:17" x14ac:dyDescent="0.25">
      <c r="P116" s="125" t="str">
        <f t="shared" si="4"/>
        <v/>
      </c>
      <c r="Q116" s="126" t="str">
        <f t="shared" si="5"/>
        <v/>
      </c>
    </row>
    <row r="117" spans="16:17" x14ac:dyDescent="0.25">
      <c r="P117" s="125" t="str">
        <f t="shared" si="4"/>
        <v/>
      </c>
      <c r="Q117" s="126" t="str">
        <f t="shared" si="5"/>
        <v/>
      </c>
    </row>
    <row r="118" spans="16:17" x14ac:dyDescent="0.25">
      <c r="P118" s="125" t="str">
        <f t="shared" si="4"/>
        <v/>
      </c>
      <c r="Q118" s="126" t="str">
        <f t="shared" si="5"/>
        <v/>
      </c>
    </row>
    <row r="119" spans="16:17" x14ac:dyDescent="0.25">
      <c r="P119" s="125" t="str">
        <f t="shared" si="4"/>
        <v/>
      </c>
      <c r="Q119" s="126" t="str">
        <f t="shared" si="5"/>
        <v/>
      </c>
    </row>
    <row r="120" spans="16:17" x14ac:dyDescent="0.25">
      <c r="P120" s="125" t="str">
        <f t="shared" si="4"/>
        <v/>
      </c>
      <c r="Q120" s="126" t="str">
        <f t="shared" si="5"/>
        <v/>
      </c>
    </row>
    <row r="121" spans="16:17" x14ac:dyDescent="0.25">
      <c r="P121" s="125" t="str">
        <f t="shared" si="4"/>
        <v/>
      </c>
      <c r="Q121" s="126" t="str">
        <f t="shared" si="5"/>
        <v/>
      </c>
    </row>
    <row r="122" spans="16:17" x14ac:dyDescent="0.25">
      <c r="P122" s="125" t="str">
        <f t="shared" si="4"/>
        <v/>
      </c>
      <c r="Q122" s="126" t="str">
        <f t="shared" si="5"/>
        <v/>
      </c>
    </row>
    <row r="123" spans="16:17" x14ac:dyDescent="0.25">
      <c r="P123" s="125" t="str">
        <f t="shared" si="4"/>
        <v/>
      </c>
      <c r="Q123" s="126" t="str">
        <f t="shared" si="5"/>
        <v/>
      </c>
    </row>
    <row r="124" spans="16:17" x14ac:dyDescent="0.25">
      <c r="P124" s="125" t="str">
        <f t="shared" si="4"/>
        <v/>
      </c>
      <c r="Q124" s="126" t="str">
        <f t="shared" si="5"/>
        <v/>
      </c>
    </row>
    <row r="125" spans="16:17" x14ac:dyDescent="0.25">
      <c r="P125" s="125" t="str">
        <f t="shared" si="4"/>
        <v/>
      </c>
      <c r="Q125" s="126" t="str">
        <f t="shared" si="5"/>
        <v/>
      </c>
    </row>
    <row r="126" spans="16:17" x14ac:dyDescent="0.25">
      <c r="P126" s="125" t="str">
        <f t="shared" si="4"/>
        <v/>
      </c>
      <c r="Q126" s="126" t="str">
        <f t="shared" si="5"/>
        <v/>
      </c>
    </row>
    <row r="127" spans="16:17" x14ac:dyDescent="0.25">
      <c r="P127" s="125" t="str">
        <f t="shared" si="4"/>
        <v/>
      </c>
      <c r="Q127" s="126" t="str">
        <f t="shared" si="5"/>
        <v/>
      </c>
    </row>
    <row r="128" spans="16:17" x14ac:dyDescent="0.25">
      <c r="P128" s="125" t="str">
        <f t="shared" si="4"/>
        <v/>
      </c>
      <c r="Q128" s="126" t="str">
        <f t="shared" si="5"/>
        <v/>
      </c>
    </row>
    <row r="129" spans="16:17" x14ac:dyDescent="0.25">
      <c r="P129" s="125" t="str">
        <f t="shared" si="4"/>
        <v/>
      </c>
      <c r="Q129" s="126" t="str">
        <f t="shared" si="5"/>
        <v/>
      </c>
    </row>
    <row r="130" spans="16:17" x14ac:dyDescent="0.25">
      <c r="P130" s="125" t="str">
        <f t="shared" si="4"/>
        <v/>
      </c>
      <c r="Q130" s="126" t="str">
        <f t="shared" si="5"/>
        <v/>
      </c>
    </row>
    <row r="131" spans="16:17" x14ac:dyDescent="0.25">
      <c r="P131" s="125" t="str">
        <f t="shared" si="4"/>
        <v/>
      </c>
      <c r="Q131" s="126" t="str">
        <f t="shared" si="5"/>
        <v/>
      </c>
    </row>
    <row r="132" spans="16:17" x14ac:dyDescent="0.25">
      <c r="P132" s="125" t="str">
        <f t="shared" si="4"/>
        <v/>
      </c>
      <c r="Q132" s="126" t="str">
        <f t="shared" si="5"/>
        <v/>
      </c>
    </row>
    <row r="133" spans="16:17" x14ac:dyDescent="0.25">
      <c r="P133" s="125" t="str">
        <f t="shared" si="4"/>
        <v/>
      </c>
      <c r="Q133" s="126" t="str">
        <f t="shared" si="5"/>
        <v/>
      </c>
    </row>
    <row r="134" spans="16:17" x14ac:dyDescent="0.25">
      <c r="P134" s="125" t="str">
        <f t="shared" si="4"/>
        <v/>
      </c>
      <c r="Q134" s="126" t="str">
        <f t="shared" si="5"/>
        <v/>
      </c>
    </row>
    <row r="135" spans="16:17" x14ac:dyDescent="0.25">
      <c r="P135" s="125" t="str">
        <f t="shared" ref="P135:P198" si="6">IF(COUNTA(B135:O135)=0,"",SUM(B135:O135))</f>
        <v/>
      </c>
      <c r="Q135" s="126" t="str">
        <f t="shared" ref="Q135:Q198" si="7">IF(COUNTA(B135:O135)=0,"",SUM(B135:O135)/$P$4)</f>
        <v/>
      </c>
    </row>
    <row r="136" spans="16:17" x14ac:dyDescent="0.25">
      <c r="P136" s="125" t="str">
        <f t="shared" si="6"/>
        <v/>
      </c>
      <c r="Q136" s="126" t="str">
        <f t="shared" si="7"/>
        <v/>
      </c>
    </row>
    <row r="137" spans="16:17" x14ac:dyDescent="0.25">
      <c r="P137" s="125" t="str">
        <f t="shared" si="6"/>
        <v/>
      </c>
      <c r="Q137" s="126" t="str">
        <f t="shared" si="7"/>
        <v/>
      </c>
    </row>
    <row r="138" spans="16:17" x14ac:dyDescent="0.25">
      <c r="P138" s="125" t="str">
        <f t="shared" si="6"/>
        <v/>
      </c>
      <c r="Q138" s="126" t="str">
        <f t="shared" si="7"/>
        <v/>
      </c>
    </row>
    <row r="139" spans="16:17" x14ac:dyDescent="0.25">
      <c r="P139" s="125" t="str">
        <f t="shared" si="6"/>
        <v/>
      </c>
      <c r="Q139" s="126" t="str">
        <f t="shared" si="7"/>
        <v/>
      </c>
    </row>
    <row r="140" spans="16:17" x14ac:dyDescent="0.25">
      <c r="P140" s="125" t="str">
        <f t="shared" si="6"/>
        <v/>
      </c>
      <c r="Q140" s="126" t="str">
        <f t="shared" si="7"/>
        <v/>
      </c>
    </row>
    <row r="141" spans="16:17" x14ac:dyDescent="0.25">
      <c r="P141" s="125" t="str">
        <f t="shared" si="6"/>
        <v/>
      </c>
      <c r="Q141" s="126" t="str">
        <f t="shared" si="7"/>
        <v/>
      </c>
    </row>
    <row r="142" spans="16:17" x14ac:dyDescent="0.25">
      <c r="P142" s="125" t="str">
        <f t="shared" si="6"/>
        <v/>
      </c>
      <c r="Q142" s="126" t="str">
        <f t="shared" si="7"/>
        <v/>
      </c>
    </row>
    <row r="143" spans="16:17" x14ac:dyDescent="0.25">
      <c r="P143" s="125" t="str">
        <f t="shared" si="6"/>
        <v/>
      </c>
      <c r="Q143" s="126" t="str">
        <f t="shared" si="7"/>
        <v/>
      </c>
    </row>
    <row r="144" spans="16:17" x14ac:dyDescent="0.25">
      <c r="P144" s="125" t="str">
        <f t="shared" si="6"/>
        <v/>
      </c>
      <c r="Q144" s="126" t="str">
        <f t="shared" si="7"/>
        <v/>
      </c>
    </row>
    <row r="145" spans="16:17" x14ac:dyDescent="0.25">
      <c r="P145" s="125" t="str">
        <f t="shared" si="6"/>
        <v/>
      </c>
      <c r="Q145" s="126" t="str">
        <f t="shared" si="7"/>
        <v/>
      </c>
    </row>
    <row r="146" spans="16:17" x14ac:dyDescent="0.25">
      <c r="P146" s="125" t="str">
        <f t="shared" si="6"/>
        <v/>
      </c>
      <c r="Q146" s="126" t="str">
        <f t="shared" si="7"/>
        <v/>
      </c>
    </row>
    <row r="147" spans="16:17" x14ac:dyDescent="0.25">
      <c r="P147" s="125" t="str">
        <f t="shared" si="6"/>
        <v/>
      </c>
      <c r="Q147" s="126" t="str">
        <f t="shared" si="7"/>
        <v/>
      </c>
    </row>
    <row r="148" spans="16:17" x14ac:dyDescent="0.25">
      <c r="P148" s="125" t="str">
        <f t="shared" si="6"/>
        <v/>
      </c>
      <c r="Q148" s="126" t="str">
        <f t="shared" si="7"/>
        <v/>
      </c>
    </row>
    <row r="149" spans="16:17" x14ac:dyDescent="0.25">
      <c r="P149" s="125" t="str">
        <f t="shared" si="6"/>
        <v/>
      </c>
      <c r="Q149" s="126" t="str">
        <f t="shared" si="7"/>
        <v/>
      </c>
    </row>
    <row r="150" spans="16:17" x14ac:dyDescent="0.25">
      <c r="P150" s="125" t="str">
        <f t="shared" si="6"/>
        <v/>
      </c>
      <c r="Q150" s="126" t="str">
        <f t="shared" si="7"/>
        <v/>
      </c>
    </row>
    <row r="151" spans="16:17" x14ac:dyDescent="0.25">
      <c r="P151" s="125" t="str">
        <f t="shared" si="6"/>
        <v/>
      </c>
      <c r="Q151" s="126" t="str">
        <f t="shared" si="7"/>
        <v/>
      </c>
    </row>
    <row r="152" spans="16:17" x14ac:dyDescent="0.25">
      <c r="P152" s="125" t="str">
        <f t="shared" si="6"/>
        <v/>
      </c>
      <c r="Q152" s="126" t="str">
        <f t="shared" si="7"/>
        <v/>
      </c>
    </row>
    <row r="153" spans="16:17" x14ac:dyDescent="0.25">
      <c r="P153" s="125" t="str">
        <f t="shared" si="6"/>
        <v/>
      </c>
      <c r="Q153" s="126" t="str">
        <f t="shared" si="7"/>
        <v/>
      </c>
    </row>
    <row r="154" spans="16:17" x14ac:dyDescent="0.25">
      <c r="P154" s="125" t="str">
        <f t="shared" si="6"/>
        <v/>
      </c>
      <c r="Q154" s="126" t="str">
        <f t="shared" si="7"/>
        <v/>
      </c>
    </row>
    <row r="155" spans="16:17" x14ac:dyDescent="0.25">
      <c r="P155" s="125" t="str">
        <f t="shared" si="6"/>
        <v/>
      </c>
      <c r="Q155" s="126" t="str">
        <f t="shared" si="7"/>
        <v/>
      </c>
    </row>
    <row r="156" spans="16:17" x14ac:dyDescent="0.25">
      <c r="P156" s="125" t="str">
        <f t="shared" si="6"/>
        <v/>
      </c>
      <c r="Q156" s="126" t="str">
        <f t="shared" si="7"/>
        <v/>
      </c>
    </row>
    <row r="157" spans="16:17" x14ac:dyDescent="0.25">
      <c r="P157" s="125" t="str">
        <f t="shared" si="6"/>
        <v/>
      </c>
      <c r="Q157" s="126" t="str">
        <f t="shared" si="7"/>
        <v/>
      </c>
    </row>
    <row r="158" spans="16:17" x14ac:dyDescent="0.25">
      <c r="P158" s="125" t="str">
        <f t="shared" si="6"/>
        <v/>
      </c>
      <c r="Q158" s="126" t="str">
        <f t="shared" si="7"/>
        <v/>
      </c>
    </row>
    <row r="159" spans="16:17" x14ac:dyDescent="0.25">
      <c r="P159" s="125" t="str">
        <f t="shared" si="6"/>
        <v/>
      </c>
      <c r="Q159" s="126" t="str">
        <f t="shared" si="7"/>
        <v/>
      </c>
    </row>
    <row r="160" spans="16:17" x14ac:dyDescent="0.25">
      <c r="P160" s="125" t="str">
        <f t="shared" si="6"/>
        <v/>
      </c>
      <c r="Q160" s="126" t="str">
        <f t="shared" si="7"/>
        <v/>
      </c>
    </row>
    <row r="161" spans="16:17" x14ac:dyDescent="0.25">
      <c r="P161" s="125" t="str">
        <f t="shared" si="6"/>
        <v/>
      </c>
      <c r="Q161" s="126" t="str">
        <f t="shared" si="7"/>
        <v/>
      </c>
    </row>
    <row r="162" spans="16:17" x14ac:dyDescent="0.25">
      <c r="P162" s="125" t="str">
        <f t="shared" si="6"/>
        <v/>
      </c>
      <c r="Q162" s="126" t="str">
        <f t="shared" si="7"/>
        <v/>
      </c>
    </row>
    <row r="163" spans="16:17" x14ac:dyDescent="0.25">
      <c r="P163" s="125" t="str">
        <f t="shared" si="6"/>
        <v/>
      </c>
      <c r="Q163" s="126" t="str">
        <f t="shared" si="7"/>
        <v/>
      </c>
    </row>
    <row r="164" spans="16:17" x14ac:dyDescent="0.25">
      <c r="P164" s="125" t="str">
        <f t="shared" si="6"/>
        <v/>
      </c>
      <c r="Q164" s="126" t="str">
        <f t="shared" si="7"/>
        <v/>
      </c>
    </row>
    <row r="165" spans="16:17" x14ac:dyDescent="0.25">
      <c r="P165" s="125" t="str">
        <f t="shared" si="6"/>
        <v/>
      </c>
      <c r="Q165" s="126" t="str">
        <f t="shared" si="7"/>
        <v/>
      </c>
    </row>
    <row r="166" spans="16:17" x14ac:dyDescent="0.25">
      <c r="P166" s="125" t="str">
        <f t="shared" si="6"/>
        <v/>
      </c>
      <c r="Q166" s="126" t="str">
        <f t="shared" si="7"/>
        <v/>
      </c>
    </row>
    <row r="167" spans="16:17" x14ac:dyDescent="0.25">
      <c r="P167" s="125" t="str">
        <f t="shared" si="6"/>
        <v/>
      </c>
      <c r="Q167" s="126" t="str">
        <f t="shared" si="7"/>
        <v/>
      </c>
    </row>
    <row r="168" spans="16:17" x14ac:dyDescent="0.25">
      <c r="P168" s="125" t="str">
        <f t="shared" si="6"/>
        <v/>
      </c>
      <c r="Q168" s="126" t="str">
        <f t="shared" si="7"/>
        <v/>
      </c>
    </row>
    <row r="169" spans="16:17" x14ac:dyDescent="0.25">
      <c r="P169" s="125" t="str">
        <f t="shared" si="6"/>
        <v/>
      </c>
      <c r="Q169" s="126" t="str">
        <f t="shared" si="7"/>
        <v/>
      </c>
    </row>
    <row r="170" spans="16:17" x14ac:dyDescent="0.25">
      <c r="P170" s="125" t="str">
        <f t="shared" si="6"/>
        <v/>
      </c>
      <c r="Q170" s="126" t="str">
        <f t="shared" si="7"/>
        <v/>
      </c>
    </row>
    <row r="171" spans="16:17" x14ac:dyDescent="0.25">
      <c r="P171" s="125" t="str">
        <f t="shared" si="6"/>
        <v/>
      </c>
      <c r="Q171" s="126" t="str">
        <f t="shared" si="7"/>
        <v/>
      </c>
    </row>
    <row r="172" spans="16:17" x14ac:dyDescent="0.25">
      <c r="P172" s="125" t="str">
        <f t="shared" si="6"/>
        <v/>
      </c>
      <c r="Q172" s="126" t="str">
        <f t="shared" si="7"/>
        <v/>
      </c>
    </row>
    <row r="173" spans="16:17" x14ac:dyDescent="0.25">
      <c r="P173" s="125" t="str">
        <f t="shared" si="6"/>
        <v/>
      </c>
      <c r="Q173" s="126" t="str">
        <f t="shared" si="7"/>
        <v/>
      </c>
    </row>
    <row r="174" spans="16:17" x14ac:dyDescent="0.25">
      <c r="P174" s="125" t="str">
        <f t="shared" si="6"/>
        <v/>
      </c>
      <c r="Q174" s="126" t="str">
        <f t="shared" si="7"/>
        <v/>
      </c>
    </row>
    <row r="175" spans="16:17" x14ac:dyDescent="0.25">
      <c r="P175" s="125" t="str">
        <f t="shared" si="6"/>
        <v/>
      </c>
      <c r="Q175" s="126" t="str">
        <f t="shared" si="7"/>
        <v/>
      </c>
    </row>
    <row r="176" spans="16:17" x14ac:dyDescent="0.25">
      <c r="P176" s="125" t="str">
        <f t="shared" si="6"/>
        <v/>
      </c>
      <c r="Q176" s="126" t="str">
        <f t="shared" si="7"/>
        <v/>
      </c>
    </row>
    <row r="177" spans="16:17" x14ac:dyDescent="0.25">
      <c r="P177" s="125" t="str">
        <f t="shared" si="6"/>
        <v/>
      </c>
      <c r="Q177" s="126" t="str">
        <f t="shared" si="7"/>
        <v/>
      </c>
    </row>
    <row r="178" spans="16:17" x14ac:dyDescent="0.25">
      <c r="P178" s="125" t="str">
        <f t="shared" si="6"/>
        <v/>
      </c>
      <c r="Q178" s="126" t="str">
        <f t="shared" si="7"/>
        <v/>
      </c>
    </row>
    <row r="179" spans="16:17" x14ac:dyDescent="0.25">
      <c r="P179" s="125" t="str">
        <f t="shared" si="6"/>
        <v/>
      </c>
      <c r="Q179" s="126" t="str">
        <f t="shared" si="7"/>
        <v/>
      </c>
    </row>
    <row r="180" spans="16:17" x14ac:dyDescent="0.25">
      <c r="P180" s="125" t="str">
        <f t="shared" si="6"/>
        <v/>
      </c>
      <c r="Q180" s="126" t="str">
        <f t="shared" si="7"/>
        <v/>
      </c>
    </row>
    <row r="181" spans="16:17" x14ac:dyDescent="0.25">
      <c r="P181" s="125" t="str">
        <f t="shared" si="6"/>
        <v/>
      </c>
      <c r="Q181" s="126" t="str">
        <f t="shared" si="7"/>
        <v/>
      </c>
    </row>
    <row r="182" spans="16:17" x14ac:dyDescent="0.25">
      <c r="P182" s="125" t="str">
        <f t="shared" si="6"/>
        <v/>
      </c>
      <c r="Q182" s="126" t="str">
        <f t="shared" si="7"/>
        <v/>
      </c>
    </row>
    <row r="183" spans="16:17" x14ac:dyDescent="0.25">
      <c r="P183" s="125" t="str">
        <f t="shared" si="6"/>
        <v/>
      </c>
      <c r="Q183" s="126" t="str">
        <f t="shared" si="7"/>
        <v/>
      </c>
    </row>
    <row r="184" spans="16:17" x14ac:dyDescent="0.25">
      <c r="P184" s="125" t="str">
        <f t="shared" si="6"/>
        <v/>
      </c>
      <c r="Q184" s="126" t="str">
        <f t="shared" si="7"/>
        <v/>
      </c>
    </row>
    <row r="185" spans="16:17" x14ac:dyDescent="0.25">
      <c r="P185" s="125" t="str">
        <f t="shared" si="6"/>
        <v/>
      </c>
      <c r="Q185" s="126" t="str">
        <f t="shared" si="7"/>
        <v/>
      </c>
    </row>
    <row r="186" spans="16:17" x14ac:dyDescent="0.25">
      <c r="P186" s="125" t="str">
        <f t="shared" si="6"/>
        <v/>
      </c>
      <c r="Q186" s="126" t="str">
        <f t="shared" si="7"/>
        <v/>
      </c>
    </row>
    <row r="187" spans="16:17" x14ac:dyDescent="0.25">
      <c r="P187" s="125" t="str">
        <f t="shared" si="6"/>
        <v/>
      </c>
      <c r="Q187" s="126" t="str">
        <f t="shared" si="7"/>
        <v/>
      </c>
    </row>
    <row r="188" spans="16:17" x14ac:dyDescent="0.25">
      <c r="P188" s="125" t="str">
        <f t="shared" si="6"/>
        <v/>
      </c>
      <c r="Q188" s="126" t="str">
        <f t="shared" si="7"/>
        <v/>
      </c>
    </row>
    <row r="189" spans="16:17" x14ac:dyDescent="0.25">
      <c r="P189" s="125" t="str">
        <f t="shared" si="6"/>
        <v/>
      </c>
      <c r="Q189" s="126" t="str">
        <f t="shared" si="7"/>
        <v/>
      </c>
    </row>
    <row r="190" spans="16:17" x14ac:dyDescent="0.25">
      <c r="P190" s="125" t="str">
        <f t="shared" si="6"/>
        <v/>
      </c>
      <c r="Q190" s="126" t="str">
        <f t="shared" si="7"/>
        <v/>
      </c>
    </row>
    <row r="191" spans="16:17" x14ac:dyDescent="0.25">
      <c r="P191" s="125" t="str">
        <f t="shared" si="6"/>
        <v/>
      </c>
      <c r="Q191" s="126" t="str">
        <f t="shared" si="7"/>
        <v/>
      </c>
    </row>
    <row r="192" spans="16:17" x14ac:dyDescent="0.25">
      <c r="P192" s="125" t="str">
        <f t="shared" si="6"/>
        <v/>
      </c>
      <c r="Q192" s="126" t="str">
        <f t="shared" si="7"/>
        <v/>
      </c>
    </row>
    <row r="193" spans="16:17" x14ac:dyDescent="0.25">
      <c r="P193" s="125" t="str">
        <f t="shared" si="6"/>
        <v/>
      </c>
      <c r="Q193" s="126" t="str">
        <f t="shared" si="7"/>
        <v/>
      </c>
    </row>
    <row r="194" spans="16:17" x14ac:dyDescent="0.25">
      <c r="P194" s="125" t="str">
        <f t="shared" si="6"/>
        <v/>
      </c>
      <c r="Q194" s="126" t="str">
        <f t="shared" si="7"/>
        <v/>
      </c>
    </row>
    <row r="195" spans="16:17" x14ac:dyDescent="0.25">
      <c r="P195" s="125" t="str">
        <f t="shared" si="6"/>
        <v/>
      </c>
      <c r="Q195" s="126" t="str">
        <f t="shared" si="7"/>
        <v/>
      </c>
    </row>
    <row r="196" spans="16:17" x14ac:dyDescent="0.25">
      <c r="P196" s="125" t="str">
        <f t="shared" si="6"/>
        <v/>
      </c>
      <c r="Q196" s="126" t="str">
        <f t="shared" si="7"/>
        <v/>
      </c>
    </row>
    <row r="197" spans="16:17" x14ac:dyDescent="0.25">
      <c r="P197" s="125" t="str">
        <f t="shared" si="6"/>
        <v/>
      </c>
      <c r="Q197" s="126" t="str">
        <f t="shared" si="7"/>
        <v/>
      </c>
    </row>
    <row r="198" spans="16:17" x14ac:dyDescent="0.25">
      <c r="P198" s="125" t="str">
        <f t="shared" si="6"/>
        <v/>
      </c>
      <c r="Q198" s="126" t="str">
        <f t="shared" si="7"/>
        <v/>
      </c>
    </row>
    <row r="199" spans="16:17" x14ac:dyDescent="0.25">
      <c r="P199" s="125" t="str">
        <f t="shared" ref="P199:P262" si="8">IF(COUNTA(B199:O199)=0,"",SUM(B199:O199))</f>
        <v/>
      </c>
      <c r="Q199" s="126" t="str">
        <f t="shared" ref="Q199:Q262" si="9">IF(COUNTA(B199:O199)=0,"",SUM(B199:O199)/$P$4)</f>
        <v/>
      </c>
    </row>
    <row r="200" spans="16:17" x14ac:dyDescent="0.25">
      <c r="P200" s="125" t="str">
        <f t="shared" si="8"/>
        <v/>
      </c>
      <c r="Q200" s="126" t="str">
        <f t="shared" si="9"/>
        <v/>
      </c>
    </row>
    <row r="201" spans="16:17" x14ac:dyDescent="0.25">
      <c r="P201" s="125" t="str">
        <f t="shared" si="8"/>
        <v/>
      </c>
      <c r="Q201" s="126" t="str">
        <f t="shared" si="9"/>
        <v/>
      </c>
    </row>
    <row r="202" spans="16:17" x14ac:dyDescent="0.25">
      <c r="P202" s="125" t="str">
        <f t="shared" si="8"/>
        <v/>
      </c>
      <c r="Q202" s="126" t="str">
        <f t="shared" si="9"/>
        <v/>
      </c>
    </row>
    <row r="203" spans="16:17" x14ac:dyDescent="0.25">
      <c r="P203" s="125" t="str">
        <f t="shared" si="8"/>
        <v/>
      </c>
      <c r="Q203" s="126" t="str">
        <f t="shared" si="9"/>
        <v/>
      </c>
    </row>
    <row r="204" spans="16:17" x14ac:dyDescent="0.25">
      <c r="P204" s="125" t="str">
        <f t="shared" si="8"/>
        <v/>
      </c>
      <c r="Q204" s="126" t="str">
        <f t="shared" si="9"/>
        <v/>
      </c>
    </row>
    <row r="205" spans="16:17" x14ac:dyDescent="0.25">
      <c r="P205" s="125" t="str">
        <f t="shared" si="8"/>
        <v/>
      </c>
      <c r="Q205" s="126" t="str">
        <f t="shared" si="9"/>
        <v/>
      </c>
    </row>
    <row r="206" spans="16:17" x14ac:dyDescent="0.25">
      <c r="P206" s="125" t="str">
        <f t="shared" si="8"/>
        <v/>
      </c>
      <c r="Q206" s="126" t="str">
        <f t="shared" si="9"/>
        <v/>
      </c>
    </row>
    <row r="207" spans="16:17" x14ac:dyDescent="0.25">
      <c r="P207" s="125" t="str">
        <f t="shared" si="8"/>
        <v/>
      </c>
      <c r="Q207" s="126" t="str">
        <f t="shared" si="9"/>
        <v/>
      </c>
    </row>
    <row r="208" spans="16:17" x14ac:dyDescent="0.25">
      <c r="P208" s="125" t="str">
        <f t="shared" si="8"/>
        <v/>
      </c>
      <c r="Q208" s="126" t="str">
        <f t="shared" si="9"/>
        <v/>
      </c>
    </row>
    <row r="209" spans="16:17" x14ac:dyDescent="0.25">
      <c r="P209" s="125" t="str">
        <f t="shared" si="8"/>
        <v/>
      </c>
      <c r="Q209" s="126" t="str">
        <f t="shared" si="9"/>
        <v/>
      </c>
    </row>
    <row r="210" spans="16:17" x14ac:dyDescent="0.25">
      <c r="P210" s="125" t="str">
        <f t="shared" si="8"/>
        <v/>
      </c>
      <c r="Q210" s="126" t="str">
        <f t="shared" si="9"/>
        <v/>
      </c>
    </row>
    <row r="211" spans="16:17" x14ac:dyDescent="0.25">
      <c r="P211" s="125" t="str">
        <f t="shared" si="8"/>
        <v/>
      </c>
      <c r="Q211" s="126" t="str">
        <f t="shared" si="9"/>
        <v/>
      </c>
    </row>
    <row r="212" spans="16:17" x14ac:dyDescent="0.25">
      <c r="P212" s="125" t="str">
        <f t="shared" si="8"/>
        <v/>
      </c>
      <c r="Q212" s="126" t="str">
        <f t="shared" si="9"/>
        <v/>
      </c>
    </row>
    <row r="213" spans="16:17" x14ac:dyDescent="0.25">
      <c r="P213" s="125" t="str">
        <f t="shared" si="8"/>
        <v/>
      </c>
      <c r="Q213" s="126" t="str">
        <f t="shared" si="9"/>
        <v/>
      </c>
    </row>
    <row r="214" spans="16:17" x14ac:dyDescent="0.25">
      <c r="P214" s="125" t="str">
        <f t="shared" si="8"/>
        <v/>
      </c>
      <c r="Q214" s="126" t="str">
        <f t="shared" si="9"/>
        <v/>
      </c>
    </row>
    <row r="215" spans="16:17" x14ac:dyDescent="0.25">
      <c r="P215" s="125" t="str">
        <f t="shared" si="8"/>
        <v/>
      </c>
      <c r="Q215" s="126" t="str">
        <f t="shared" si="9"/>
        <v/>
      </c>
    </row>
    <row r="216" spans="16:17" x14ac:dyDescent="0.25">
      <c r="P216" s="125" t="str">
        <f t="shared" si="8"/>
        <v/>
      </c>
      <c r="Q216" s="126" t="str">
        <f t="shared" si="9"/>
        <v/>
      </c>
    </row>
    <row r="217" spans="16:17" x14ac:dyDescent="0.25">
      <c r="P217" s="125" t="str">
        <f t="shared" si="8"/>
        <v/>
      </c>
      <c r="Q217" s="126" t="str">
        <f t="shared" si="9"/>
        <v/>
      </c>
    </row>
    <row r="218" spans="16:17" x14ac:dyDescent="0.25">
      <c r="P218" s="125" t="str">
        <f t="shared" si="8"/>
        <v/>
      </c>
      <c r="Q218" s="126" t="str">
        <f t="shared" si="9"/>
        <v/>
      </c>
    </row>
    <row r="219" spans="16:17" x14ac:dyDescent="0.25">
      <c r="P219" s="125" t="str">
        <f t="shared" si="8"/>
        <v/>
      </c>
      <c r="Q219" s="126" t="str">
        <f t="shared" si="9"/>
        <v/>
      </c>
    </row>
    <row r="220" spans="16:17" x14ac:dyDescent="0.25">
      <c r="P220" s="125" t="str">
        <f t="shared" si="8"/>
        <v/>
      </c>
      <c r="Q220" s="126" t="str">
        <f t="shared" si="9"/>
        <v/>
      </c>
    </row>
    <row r="221" spans="16:17" x14ac:dyDescent="0.25">
      <c r="P221" s="125" t="str">
        <f t="shared" si="8"/>
        <v/>
      </c>
      <c r="Q221" s="126" t="str">
        <f t="shared" si="9"/>
        <v/>
      </c>
    </row>
    <row r="222" spans="16:17" x14ac:dyDescent="0.25">
      <c r="P222" s="125" t="str">
        <f t="shared" si="8"/>
        <v/>
      </c>
      <c r="Q222" s="126" t="str">
        <f t="shared" si="9"/>
        <v/>
      </c>
    </row>
    <row r="223" spans="16:17" x14ac:dyDescent="0.25">
      <c r="P223" s="125" t="str">
        <f t="shared" si="8"/>
        <v/>
      </c>
      <c r="Q223" s="126" t="str">
        <f t="shared" si="9"/>
        <v/>
      </c>
    </row>
    <row r="224" spans="16:17" x14ac:dyDescent="0.25">
      <c r="P224" s="125" t="str">
        <f t="shared" si="8"/>
        <v/>
      </c>
      <c r="Q224" s="126" t="str">
        <f t="shared" si="9"/>
        <v/>
      </c>
    </row>
    <row r="225" spans="16:17" x14ac:dyDescent="0.25">
      <c r="P225" s="125" t="str">
        <f t="shared" si="8"/>
        <v/>
      </c>
      <c r="Q225" s="126" t="str">
        <f t="shared" si="9"/>
        <v/>
      </c>
    </row>
    <row r="226" spans="16:17" x14ac:dyDescent="0.25">
      <c r="P226" s="125" t="str">
        <f t="shared" si="8"/>
        <v/>
      </c>
      <c r="Q226" s="126" t="str">
        <f t="shared" si="9"/>
        <v/>
      </c>
    </row>
    <row r="227" spans="16:17" x14ac:dyDescent="0.25">
      <c r="P227" s="125" t="str">
        <f t="shared" si="8"/>
        <v/>
      </c>
      <c r="Q227" s="126" t="str">
        <f t="shared" si="9"/>
        <v/>
      </c>
    </row>
    <row r="228" spans="16:17" x14ac:dyDescent="0.25">
      <c r="P228" s="125" t="str">
        <f t="shared" si="8"/>
        <v/>
      </c>
      <c r="Q228" s="126" t="str">
        <f t="shared" si="9"/>
        <v/>
      </c>
    </row>
    <row r="229" spans="16:17" x14ac:dyDescent="0.25">
      <c r="P229" s="125" t="str">
        <f t="shared" si="8"/>
        <v/>
      </c>
      <c r="Q229" s="126" t="str">
        <f t="shared" si="9"/>
        <v/>
      </c>
    </row>
    <row r="230" spans="16:17" x14ac:dyDescent="0.25">
      <c r="P230" s="125" t="str">
        <f t="shared" si="8"/>
        <v/>
      </c>
      <c r="Q230" s="126" t="str">
        <f t="shared" si="9"/>
        <v/>
      </c>
    </row>
    <row r="231" spans="16:17" x14ac:dyDescent="0.25">
      <c r="P231" s="125" t="str">
        <f t="shared" si="8"/>
        <v/>
      </c>
      <c r="Q231" s="126" t="str">
        <f t="shared" si="9"/>
        <v/>
      </c>
    </row>
    <row r="232" spans="16:17" x14ac:dyDescent="0.25">
      <c r="P232" s="125" t="str">
        <f t="shared" si="8"/>
        <v/>
      </c>
      <c r="Q232" s="126" t="str">
        <f t="shared" si="9"/>
        <v/>
      </c>
    </row>
    <row r="233" spans="16:17" x14ac:dyDescent="0.25">
      <c r="P233" s="125" t="str">
        <f t="shared" si="8"/>
        <v/>
      </c>
      <c r="Q233" s="126" t="str">
        <f t="shared" si="9"/>
        <v/>
      </c>
    </row>
    <row r="234" spans="16:17" x14ac:dyDescent="0.25">
      <c r="P234" s="125" t="str">
        <f t="shared" si="8"/>
        <v/>
      </c>
      <c r="Q234" s="126" t="str">
        <f t="shared" si="9"/>
        <v/>
      </c>
    </row>
    <row r="235" spans="16:17" x14ac:dyDescent="0.25">
      <c r="P235" s="125" t="str">
        <f t="shared" si="8"/>
        <v/>
      </c>
      <c r="Q235" s="126" t="str">
        <f t="shared" si="9"/>
        <v/>
      </c>
    </row>
    <row r="236" spans="16:17" x14ac:dyDescent="0.25">
      <c r="P236" s="125" t="str">
        <f t="shared" si="8"/>
        <v/>
      </c>
      <c r="Q236" s="126" t="str">
        <f t="shared" si="9"/>
        <v/>
      </c>
    </row>
    <row r="237" spans="16:17" x14ac:dyDescent="0.25">
      <c r="P237" s="125" t="str">
        <f t="shared" si="8"/>
        <v/>
      </c>
      <c r="Q237" s="126" t="str">
        <f t="shared" si="9"/>
        <v/>
      </c>
    </row>
    <row r="238" spans="16:17" x14ac:dyDescent="0.25">
      <c r="P238" s="125" t="str">
        <f t="shared" si="8"/>
        <v/>
      </c>
      <c r="Q238" s="126" t="str">
        <f t="shared" si="9"/>
        <v/>
      </c>
    </row>
    <row r="239" spans="16:17" x14ac:dyDescent="0.25">
      <c r="P239" s="125" t="str">
        <f t="shared" si="8"/>
        <v/>
      </c>
      <c r="Q239" s="126" t="str">
        <f t="shared" si="9"/>
        <v/>
      </c>
    </row>
    <row r="240" spans="16:17" x14ac:dyDescent="0.25">
      <c r="P240" s="125" t="str">
        <f t="shared" si="8"/>
        <v/>
      </c>
      <c r="Q240" s="126" t="str">
        <f t="shared" si="9"/>
        <v/>
      </c>
    </row>
    <row r="241" spans="16:17" x14ac:dyDescent="0.25">
      <c r="P241" s="125" t="str">
        <f t="shared" si="8"/>
        <v/>
      </c>
      <c r="Q241" s="126" t="str">
        <f t="shared" si="9"/>
        <v/>
      </c>
    </row>
    <row r="242" spans="16:17" x14ac:dyDescent="0.25">
      <c r="P242" s="125" t="str">
        <f t="shared" si="8"/>
        <v/>
      </c>
      <c r="Q242" s="126" t="str">
        <f t="shared" si="9"/>
        <v/>
      </c>
    </row>
    <row r="243" spans="16:17" x14ac:dyDescent="0.25">
      <c r="P243" s="125" t="str">
        <f t="shared" si="8"/>
        <v/>
      </c>
      <c r="Q243" s="126" t="str">
        <f t="shared" si="9"/>
        <v/>
      </c>
    </row>
    <row r="244" spans="16:17" x14ac:dyDescent="0.25">
      <c r="P244" s="125" t="str">
        <f t="shared" si="8"/>
        <v/>
      </c>
      <c r="Q244" s="126" t="str">
        <f t="shared" si="9"/>
        <v/>
      </c>
    </row>
    <row r="245" spans="16:17" x14ac:dyDescent="0.25">
      <c r="P245" s="125" t="str">
        <f t="shared" si="8"/>
        <v/>
      </c>
      <c r="Q245" s="126" t="str">
        <f t="shared" si="9"/>
        <v/>
      </c>
    </row>
    <row r="246" spans="16:17" x14ac:dyDescent="0.25">
      <c r="P246" s="125" t="str">
        <f t="shared" si="8"/>
        <v/>
      </c>
      <c r="Q246" s="126" t="str">
        <f t="shared" si="9"/>
        <v/>
      </c>
    </row>
    <row r="247" spans="16:17" x14ac:dyDescent="0.25">
      <c r="P247" s="125" t="str">
        <f t="shared" si="8"/>
        <v/>
      </c>
      <c r="Q247" s="126" t="str">
        <f t="shared" si="9"/>
        <v/>
      </c>
    </row>
    <row r="248" spans="16:17" x14ac:dyDescent="0.25">
      <c r="P248" s="125" t="str">
        <f t="shared" si="8"/>
        <v/>
      </c>
      <c r="Q248" s="126" t="str">
        <f t="shared" si="9"/>
        <v/>
      </c>
    </row>
    <row r="249" spans="16:17" x14ac:dyDescent="0.25">
      <c r="P249" s="125" t="str">
        <f t="shared" si="8"/>
        <v/>
      </c>
      <c r="Q249" s="126" t="str">
        <f t="shared" si="9"/>
        <v/>
      </c>
    </row>
    <row r="250" spans="16:17" x14ac:dyDescent="0.25">
      <c r="P250" s="125" t="str">
        <f t="shared" si="8"/>
        <v/>
      </c>
      <c r="Q250" s="126" t="str">
        <f t="shared" si="9"/>
        <v/>
      </c>
    </row>
    <row r="251" spans="16:17" x14ac:dyDescent="0.25">
      <c r="P251" s="125" t="str">
        <f t="shared" si="8"/>
        <v/>
      </c>
      <c r="Q251" s="126" t="str">
        <f t="shared" si="9"/>
        <v/>
      </c>
    </row>
    <row r="252" spans="16:17" x14ac:dyDescent="0.25">
      <c r="P252" s="125" t="str">
        <f t="shared" si="8"/>
        <v/>
      </c>
      <c r="Q252" s="126" t="str">
        <f t="shared" si="9"/>
        <v/>
      </c>
    </row>
    <row r="253" spans="16:17" x14ac:dyDescent="0.25">
      <c r="P253" s="125" t="str">
        <f t="shared" si="8"/>
        <v/>
      </c>
      <c r="Q253" s="126" t="str">
        <f t="shared" si="9"/>
        <v/>
      </c>
    </row>
    <row r="254" spans="16:17" x14ac:dyDescent="0.25">
      <c r="P254" s="125" t="str">
        <f t="shared" si="8"/>
        <v/>
      </c>
      <c r="Q254" s="126" t="str">
        <f t="shared" si="9"/>
        <v/>
      </c>
    </row>
    <row r="255" spans="16:17" x14ac:dyDescent="0.25">
      <c r="P255" s="125" t="str">
        <f t="shared" si="8"/>
        <v/>
      </c>
      <c r="Q255" s="126" t="str">
        <f t="shared" si="9"/>
        <v/>
      </c>
    </row>
    <row r="256" spans="16:17" x14ac:dyDescent="0.25">
      <c r="P256" s="125" t="str">
        <f t="shared" si="8"/>
        <v/>
      </c>
      <c r="Q256" s="126" t="str">
        <f t="shared" si="9"/>
        <v/>
      </c>
    </row>
    <row r="257" spans="16:17" x14ac:dyDescent="0.25">
      <c r="P257" s="125" t="str">
        <f t="shared" si="8"/>
        <v/>
      </c>
      <c r="Q257" s="126" t="str">
        <f t="shared" si="9"/>
        <v/>
      </c>
    </row>
    <row r="258" spans="16:17" x14ac:dyDescent="0.25">
      <c r="P258" s="125" t="str">
        <f t="shared" si="8"/>
        <v/>
      </c>
      <c r="Q258" s="126" t="str">
        <f t="shared" si="9"/>
        <v/>
      </c>
    </row>
    <row r="259" spans="16:17" x14ac:dyDescent="0.25">
      <c r="P259" s="125" t="str">
        <f t="shared" si="8"/>
        <v/>
      </c>
      <c r="Q259" s="126" t="str">
        <f t="shared" si="9"/>
        <v/>
      </c>
    </row>
    <row r="260" spans="16:17" x14ac:dyDescent="0.25">
      <c r="P260" s="125" t="str">
        <f t="shared" si="8"/>
        <v/>
      </c>
      <c r="Q260" s="126" t="str">
        <f t="shared" si="9"/>
        <v/>
      </c>
    </row>
    <row r="261" spans="16:17" x14ac:dyDescent="0.25">
      <c r="P261" s="125" t="str">
        <f t="shared" si="8"/>
        <v/>
      </c>
      <c r="Q261" s="126" t="str">
        <f t="shared" si="9"/>
        <v/>
      </c>
    </row>
    <row r="262" spans="16:17" x14ac:dyDescent="0.25">
      <c r="P262" s="125" t="str">
        <f t="shared" si="8"/>
        <v/>
      </c>
      <c r="Q262" s="126" t="str">
        <f t="shared" si="9"/>
        <v/>
      </c>
    </row>
    <row r="263" spans="16:17" x14ac:dyDescent="0.25">
      <c r="P263" s="125" t="str">
        <f t="shared" ref="P263:P326" si="10">IF(COUNTA(B263:O263)=0,"",SUM(B263:O263))</f>
        <v/>
      </c>
      <c r="Q263" s="126" t="str">
        <f t="shared" ref="Q263:Q326" si="11">IF(COUNTA(B263:O263)=0,"",SUM(B263:O263)/$P$4)</f>
        <v/>
      </c>
    </row>
    <row r="264" spans="16:17" x14ac:dyDescent="0.25">
      <c r="P264" s="125" t="str">
        <f t="shared" si="10"/>
        <v/>
      </c>
      <c r="Q264" s="126" t="str">
        <f t="shared" si="11"/>
        <v/>
      </c>
    </row>
    <row r="265" spans="16:17" x14ac:dyDescent="0.25">
      <c r="P265" s="125" t="str">
        <f t="shared" si="10"/>
        <v/>
      </c>
      <c r="Q265" s="126" t="str">
        <f t="shared" si="11"/>
        <v/>
      </c>
    </row>
    <row r="266" spans="16:17" x14ac:dyDescent="0.25">
      <c r="P266" s="125" t="str">
        <f t="shared" si="10"/>
        <v/>
      </c>
      <c r="Q266" s="126" t="str">
        <f t="shared" si="11"/>
        <v/>
      </c>
    </row>
    <row r="267" spans="16:17" x14ac:dyDescent="0.25">
      <c r="P267" s="125" t="str">
        <f t="shared" si="10"/>
        <v/>
      </c>
      <c r="Q267" s="126" t="str">
        <f t="shared" si="11"/>
        <v/>
      </c>
    </row>
    <row r="268" spans="16:17" x14ac:dyDescent="0.25">
      <c r="P268" s="125" t="str">
        <f t="shared" si="10"/>
        <v/>
      </c>
      <c r="Q268" s="126" t="str">
        <f t="shared" si="11"/>
        <v/>
      </c>
    </row>
    <row r="269" spans="16:17" x14ac:dyDescent="0.25">
      <c r="P269" s="125" t="str">
        <f t="shared" si="10"/>
        <v/>
      </c>
      <c r="Q269" s="126" t="str">
        <f t="shared" si="11"/>
        <v/>
      </c>
    </row>
    <row r="270" spans="16:17" x14ac:dyDescent="0.25">
      <c r="P270" s="125" t="str">
        <f t="shared" si="10"/>
        <v/>
      </c>
      <c r="Q270" s="126" t="str">
        <f t="shared" si="11"/>
        <v/>
      </c>
    </row>
    <row r="271" spans="16:17" x14ac:dyDescent="0.25">
      <c r="P271" s="125" t="str">
        <f t="shared" si="10"/>
        <v/>
      </c>
      <c r="Q271" s="126" t="str">
        <f t="shared" si="11"/>
        <v/>
      </c>
    </row>
    <row r="272" spans="16:17" x14ac:dyDescent="0.25">
      <c r="P272" s="125" t="str">
        <f t="shared" si="10"/>
        <v/>
      </c>
      <c r="Q272" s="126" t="str">
        <f t="shared" si="11"/>
        <v/>
      </c>
    </row>
    <row r="273" spans="16:17" x14ac:dyDescent="0.25">
      <c r="P273" s="125" t="str">
        <f t="shared" si="10"/>
        <v/>
      </c>
      <c r="Q273" s="126" t="str">
        <f t="shared" si="11"/>
        <v/>
      </c>
    </row>
    <row r="274" spans="16:17" x14ac:dyDescent="0.25">
      <c r="P274" s="125" t="str">
        <f t="shared" si="10"/>
        <v/>
      </c>
      <c r="Q274" s="126" t="str">
        <f t="shared" si="11"/>
        <v/>
      </c>
    </row>
    <row r="275" spans="16:17" x14ac:dyDescent="0.25">
      <c r="P275" s="125" t="str">
        <f t="shared" si="10"/>
        <v/>
      </c>
      <c r="Q275" s="126" t="str">
        <f t="shared" si="11"/>
        <v/>
      </c>
    </row>
    <row r="276" spans="16:17" x14ac:dyDescent="0.25">
      <c r="P276" s="125" t="str">
        <f t="shared" si="10"/>
        <v/>
      </c>
      <c r="Q276" s="126" t="str">
        <f t="shared" si="11"/>
        <v/>
      </c>
    </row>
    <row r="277" spans="16:17" x14ac:dyDescent="0.25">
      <c r="P277" s="125" t="str">
        <f t="shared" si="10"/>
        <v/>
      </c>
      <c r="Q277" s="126" t="str">
        <f t="shared" si="11"/>
        <v/>
      </c>
    </row>
    <row r="278" spans="16:17" x14ac:dyDescent="0.25">
      <c r="P278" s="125" t="str">
        <f t="shared" si="10"/>
        <v/>
      </c>
      <c r="Q278" s="126" t="str">
        <f t="shared" si="11"/>
        <v/>
      </c>
    </row>
    <row r="279" spans="16:17" x14ac:dyDescent="0.25">
      <c r="P279" s="125" t="str">
        <f t="shared" si="10"/>
        <v/>
      </c>
      <c r="Q279" s="126" t="str">
        <f t="shared" si="11"/>
        <v/>
      </c>
    </row>
    <row r="280" spans="16:17" x14ac:dyDescent="0.25">
      <c r="P280" s="125" t="str">
        <f t="shared" si="10"/>
        <v/>
      </c>
      <c r="Q280" s="126" t="str">
        <f t="shared" si="11"/>
        <v/>
      </c>
    </row>
    <row r="281" spans="16:17" x14ac:dyDescent="0.25">
      <c r="P281" s="125" t="str">
        <f t="shared" si="10"/>
        <v/>
      </c>
      <c r="Q281" s="126" t="str">
        <f t="shared" si="11"/>
        <v/>
      </c>
    </row>
    <row r="282" spans="16:17" x14ac:dyDescent="0.25">
      <c r="P282" s="125" t="str">
        <f t="shared" si="10"/>
        <v/>
      </c>
      <c r="Q282" s="126" t="str">
        <f t="shared" si="11"/>
        <v/>
      </c>
    </row>
    <row r="283" spans="16:17" x14ac:dyDescent="0.25">
      <c r="P283" s="125" t="str">
        <f t="shared" si="10"/>
        <v/>
      </c>
      <c r="Q283" s="126" t="str">
        <f t="shared" si="11"/>
        <v/>
      </c>
    </row>
    <row r="284" spans="16:17" x14ac:dyDescent="0.25">
      <c r="P284" s="125" t="str">
        <f t="shared" si="10"/>
        <v/>
      </c>
      <c r="Q284" s="126" t="str">
        <f t="shared" si="11"/>
        <v/>
      </c>
    </row>
    <row r="285" spans="16:17" x14ac:dyDescent="0.25">
      <c r="P285" s="125" t="str">
        <f t="shared" si="10"/>
        <v/>
      </c>
      <c r="Q285" s="126" t="str">
        <f t="shared" si="11"/>
        <v/>
      </c>
    </row>
    <row r="286" spans="16:17" x14ac:dyDescent="0.25">
      <c r="P286" s="125" t="str">
        <f t="shared" si="10"/>
        <v/>
      </c>
      <c r="Q286" s="126" t="str">
        <f t="shared" si="11"/>
        <v/>
      </c>
    </row>
    <row r="287" spans="16:17" x14ac:dyDescent="0.25">
      <c r="P287" s="125" t="str">
        <f t="shared" si="10"/>
        <v/>
      </c>
      <c r="Q287" s="126" t="str">
        <f t="shared" si="11"/>
        <v/>
      </c>
    </row>
    <row r="288" spans="16:17" x14ac:dyDescent="0.25">
      <c r="P288" s="125" t="str">
        <f t="shared" si="10"/>
        <v/>
      </c>
      <c r="Q288" s="126" t="str">
        <f t="shared" si="11"/>
        <v/>
      </c>
    </row>
    <row r="289" spans="16:17" x14ac:dyDescent="0.25">
      <c r="P289" s="125" t="str">
        <f t="shared" si="10"/>
        <v/>
      </c>
      <c r="Q289" s="126" t="str">
        <f t="shared" si="11"/>
        <v/>
      </c>
    </row>
    <row r="290" spans="16:17" x14ac:dyDescent="0.25">
      <c r="P290" s="125" t="str">
        <f t="shared" si="10"/>
        <v/>
      </c>
      <c r="Q290" s="126" t="str">
        <f t="shared" si="11"/>
        <v/>
      </c>
    </row>
    <row r="291" spans="16:17" x14ac:dyDescent="0.25">
      <c r="P291" s="125" t="str">
        <f t="shared" si="10"/>
        <v/>
      </c>
      <c r="Q291" s="126" t="str">
        <f t="shared" si="11"/>
        <v/>
      </c>
    </row>
    <row r="292" spans="16:17" x14ac:dyDescent="0.25">
      <c r="P292" s="125" t="str">
        <f t="shared" si="10"/>
        <v/>
      </c>
      <c r="Q292" s="126" t="str">
        <f t="shared" si="11"/>
        <v/>
      </c>
    </row>
    <row r="293" spans="16:17" x14ac:dyDescent="0.25">
      <c r="P293" s="125" t="str">
        <f t="shared" si="10"/>
        <v/>
      </c>
      <c r="Q293" s="126" t="str">
        <f t="shared" si="11"/>
        <v/>
      </c>
    </row>
    <row r="294" spans="16:17" x14ac:dyDescent="0.25">
      <c r="P294" s="125" t="str">
        <f t="shared" si="10"/>
        <v/>
      </c>
      <c r="Q294" s="126" t="str">
        <f t="shared" si="11"/>
        <v/>
      </c>
    </row>
    <row r="295" spans="16:17" x14ac:dyDescent="0.25">
      <c r="P295" s="125" t="str">
        <f t="shared" si="10"/>
        <v/>
      </c>
      <c r="Q295" s="126" t="str">
        <f t="shared" si="11"/>
        <v/>
      </c>
    </row>
    <row r="296" spans="16:17" x14ac:dyDescent="0.25">
      <c r="P296" s="125" t="str">
        <f t="shared" si="10"/>
        <v/>
      </c>
      <c r="Q296" s="126" t="str">
        <f t="shared" si="11"/>
        <v/>
      </c>
    </row>
    <row r="297" spans="16:17" x14ac:dyDescent="0.25">
      <c r="P297" s="125" t="str">
        <f t="shared" si="10"/>
        <v/>
      </c>
      <c r="Q297" s="126" t="str">
        <f t="shared" si="11"/>
        <v/>
      </c>
    </row>
    <row r="298" spans="16:17" x14ac:dyDescent="0.25">
      <c r="P298" s="125" t="str">
        <f t="shared" si="10"/>
        <v/>
      </c>
      <c r="Q298" s="126" t="str">
        <f t="shared" si="11"/>
        <v/>
      </c>
    </row>
    <row r="299" spans="16:17" x14ac:dyDescent="0.25">
      <c r="P299" s="125" t="str">
        <f t="shared" si="10"/>
        <v/>
      </c>
      <c r="Q299" s="126" t="str">
        <f t="shared" si="11"/>
        <v/>
      </c>
    </row>
    <row r="300" spans="16:17" x14ac:dyDescent="0.25">
      <c r="P300" s="125" t="str">
        <f t="shared" si="10"/>
        <v/>
      </c>
      <c r="Q300" s="126" t="str">
        <f t="shared" si="11"/>
        <v/>
      </c>
    </row>
    <row r="301" spans="16:17" x14ac:dyDescent="0.25">
      <c r="P301" s="125" t="str">
        <f t="shared" si="10"/>
        <v/>
      </c>
      <c r="Q301" s="126" t="str">
        <f t="shared" si="11"/>
        <v/>
      </c>
    </row>
    <row r="302" spans="16:17" x14ac:dyDescent="0.25">
      <c r="P302" s="125" t="str">
        <f t="shared" si="10"/>
        <v/>
      </c>
      <c r="Q302" s="126" t="str">
        <f t="shared" si="11"/>
        <v/>
      </c>
    </row>
    <row r="303" spans="16:17" x14ac:dyDescent="0.25">
      <c r="P303" s="125" t="str">
        <f t="shared" si="10"/>
        <v/>
      </c>
      <c r="Q303" s="126" t="str">
        <f t="shared" si="11"/>
        <v/>
      </c>
    </row>
    <row r="304" spans="16:17" x14ac:dyDescent="0.25">
      <c r="P304" s="125" t="str">
        <f t="shared" si="10"/>
        <v/>
      </c>
      <c r="Q304" s="126" t="str">
        <f t="shared" si="11"/>
        <v/>
      </c>
    </row>
    <row r="305" spans="16:17" x14ac:dyDescent="0.25">
      <c r="P305" s="125" t="str">
        <f t="shared" si="10"/>
        <v/>
      </c>
      <c r="Q305" s="126" t="str">
        <f t="shared" si="11"/>
        <v/>
      </c>
    </row>
    <row r="306" spans="16:17" x14ac:dyDescent="0.25">
      <c r="P306" s="125" t="str">
        <f t="shared" si="10"/>
        <v/>
      </c>
      <c r="Q306" s="126" t="str">
        <f t="shared" si="11"/>
        <v/>
      </c>
    </row>
    <row r="307" spans="16:17" x14ac:dyDescent="0.25">
      <c r="P307" s="125" t="str">
        <f t="shared" si="10"/>
        <v/>
      </c>
      <c r="Q307" s="126" t="str">
        <f t="shared" si="11"/>
        <v/>
      </c>
    </row>
    <row r="308" spans="16:17" x14ac:dyDescent="0.25">
      <c r="P308" s="125" t="str">
        <f t="shared" si="10"/>
        <v/>
      </c>
      <c r="Q308" s="126" t="str">
        <f t="shared" si="11"/>
        <v/>
      </c>
    </row>
    <row r="309" spans="16:17" x14ac:dyDescent="0.25">
      <c r="P309" s="125" t="str">
        <f t="shared" si="10"/>
        <v/>
      </c>
      <c r="Q309" s="126" t="str">
        <f t="shared" si="11"/>
        <v/>
      </c>
    </row>
    <row r="310" spans="16:17" x14ac:dyDescent="0.25">
      <c r="P310" s="125" t="str">
        <f t="shared" si="10"/>
        <v/>
      </c>
      <c r="Q310" s="126" t="str">
        <f t="shared" si="11"/>
        <v/>
      </c>
    </row>
    <row r="311" spans="16:17" x14ac:dyDescent="0.25">
      <c r="P311" s="125" t="str">
        <f t="shared" si="10"/>
        <v/>
      </c>
      <c r="Q311" s="126" t="str">
        <f t="shared" si="11"/>
        <v/>
      </c>
    </row>
    <row r="312" spans="16:17" x14ac:dyDescent="0.25">
      <c r="P312" s="125" t="str">
        <f t="shared" si="10"/>
        <v/>
      </c>
      <c r="Q312" s="126" t="str">
        <f t="shared" si="11"/>
        <v/>
      </c>
    </row>
    <row r="313" spans="16:17" x14ac:dyDescent="0.25">
      <c r="P313" s="125" t="str">
        <f t="shared" si="10"/>
        <v/>
      </c>
      <c r="Q313" s="126" t="str">
        <f t="shared" si="11"/>
        <v/>
      </c>
    </row>
    <row r="314" spans="16:17" x14ac:dyDescent="0.25">
      <c r="P314" s="125" t="str">
        <f t="shared" si="10"/>
        <v/>
      </c>
      <c r="Q314" s="126" t="str">
        <f t="shared" si="11"/>
        <v/>
      </c>
    </row>
    <row r="315" spans="16:17" x14ac:dyDescent="0.25">
      <c r="P315" s="125" t="str">
        <f t="shared" si="10"/>
        <v/>
      </c>
      <c r="Q315" s="126" t="str">
        <f t="shared" si="11"/>
        <v/>
      </c>
    </row>
    <row r="316" spans="16:17" x14ac:dyDescent="0.25">
      <c r="P316" s="125" t="str">
        <f t="shared" si="10"/>
        <v/>
      </c>
      <c r="Q316" s="126" t="str">
        <f t="shared" si="11"/>
        <v/>
      </c>
    </row>
    <row r="317" spans="16:17" x14ac:dyDescent="0.25">
      <c r="P317" s="125" t="str">
        <f t="shared" si="10"/>
        <v/>
      </c>
      <c r="Q317" s="126" t="str">
        <f t="shared" si="11"/>
        <v/>
      </c>
    </row>
    <row r="318" spans="16:17" x14ac:dyDescent="0.25">
      <c r="P318" s="125" t="str">
        <f t="shared" si="10"/>
        <v/>
      </c>
      <c r="Q318" s="126" t="str">
        <f t="shared" si="11"/>
        <v/>
      </c>
    </row>
    <row r="319" spans="16:17" x14ac:dyDescent="0.25">
      <c r="P319" s="125" t="str">
        <f t="shared" si="10"/>
        <v/>
      </c>
      <c r="Q319" s="126" t="str">
        <f t="shared" si="11"/>
        <v/>
      </c>
    </row>
    <row r="320" spans="16:17" x14ac:dyDescent="0.25">
      <c r="P320" s="125" t="str">
        <f t="shared" si="10"/>
        <v/>
      </c>
      <c r="Q320" s="126" t="str">
        <f t="shared" si="11"/>
        <v/>
      </c>
    </row>
    <row r="321" spans="16:17" x14ac:dyDescent="0.25">
      <c r="P321" s="125" t="str">
        <f t="shared" si="10"/>
        <v/>
      </c>
      <c r="Q321" s="126" t="str">
        <f t="shared" si="11"/>
        <v/>
      </c>
    </row>
    <row r="322" spans="16:17" x14ac:dyDescent="0.25">
      <c r="P322" s="125" t="str">
        <f t="shared" si="10"/>
        <v/>
      </c>
      <c r="Q322" s="126" t="str">
        <f t="shared" si="11"/>
        <v/>
      </c>
    </row>
    <row r="323" spans="16:17" x14ac:dyDescent="0.25">
      <c r="P323" s="125" t="str">
        <f t="shared" si="10"/>
        <v/>
      </c>
      <c r="Q323" s="126" t="str">
        <f t="shared" si="11"/>
        <v/>
      </c>
    </row>
    <row r="324" spans="16:17" x14ac:dyDescent="0.25">
      <c r="P324" s="125" t="str">
        <f t="shared" si="10"/>
        <v/>
      </c>
      <c r="Q324" s="126" t="str">
        <f t="shared" si="11"/>
        <v/>
      </c>
    </row>
    <row r="325" spans="16:17" x14ac:dyDescent="0.25">
      <c r="P325" s="125" t="str">
        <f t="shared" si="10"/>
        <v/>
      </c>
      <c r="Q325" s="126" t="str">
        <f t="shared" si="11"/>
        <v/>
      </c>
    </row>
    <row r="326" spans="16:17" x14ac:dyDescent="0.25">
      <c r="P326" s="125" t="str">
        <f t="shared" si="10"/>
        <v/>
      </c>
      <c r="Q326" s="126" t="str">
        <f t="shared" si="11"/>
        <v/>
      </c>
    </row>
    <row r="327" spans="16:17" x14ac:dyDescent="0.25">
      <c r="P327" s="125" t="str">
        <f t="shared" ref="P327:P377" si="12">IF(COUNTA(B327:O327)=0,"",SUM(B327:O327))</f>
        <v/>
      </c>
      <c r="Q327" s="126" t="str">
        <f t="shared" ref="Q327:Q377" si="13">IF(COUNTA(B327:O327)=0,"",SUM(B327:O327)/$P$4)</f>
        <v/>
      </c>
    </row>
    <row r="328" spans="16:17" x14ac:dyDescent="0.25">
      <c r="P328" s="125" t="str">
        <f t="shared" si="12"/>
        <v/>
      </c>
      <c r="Q328" s="126" t="str">
        <f t="shared" si="13"/>
        <v/>
      </c>
    </row>
    <row r="329" spans="16:17" x14ac:dyDescent="0.25">
      <c r="P329" s="125" t="str">
        <f t="shared" si="12"/>
        <v/>
      </c>
      <c r="Q329" s="126" t="str">
        <f t="shared" si="13"/>
        <v/>
      </c>
    </row>
    <row r="330" spans="16:17" x14ac:dyDescent="0.25">
      <c r="P330" s="125" t="str">
        <f t="shared" si="12"/>
        <v/>
      </c>
      <c r="Q330" s="126" t="str">
        <f t="shared" si="13"/>
        <v/>
      </c>
    </row>
    <row r="331" spans="16:17" x14ac:dyDescent="0.25">
      <c r="P331" s="125" t="str">
        <f t="shared" si="12"/>
        <v/>
      </c>
      <c r="Q331" s="126" t="str">
        <f t="shared" si="13"/>
        <v/>
      </c>
    </row>
    <row r="332" spans="16:17" x14ac:dyDescent="0.25">
      <c r="P332" s="125" t="str">
        <f t="shared" si="12"/>
        <v/>
      </c>
      <c r="Q332" s="126" t="str">
        <f t="shared" si="13"/>
        <v/>
      </c>
    </row>
    <row r="333" spans="16:17" x14ac:dyDescent="0.25">
      <c r="P333" s="125" t="str">
        <f t="shared" si="12"/>
        <v/>
      </c>
      <c r="Q333" s="126" t="str">
        <f t="shared" si="13"/>
        <v/>
      </c>
    </row>
    <row r="334" spans="16:17" x14ac:dyDescent="0.25">
      <c r="P334" s="125" t="str">
        <f t="shared" si="12"/>
        <v/>
      </c>
      <c r="Q334" s="126" t="str">
        <f t="shared" si="13"/>
        <v/>
      </c>
    </row>
    <row r="335" spans="16:17" x14ac:dyDescent="0.25">
      <c r="P335" s="125" t="str">
        <f t="shared" si="12"/>
        <v/>
      </c>
      <c r="Q335" s="126" t="str">
        <f t="shared" si="13"/>
        <v/>
      </c>
    </row>
    <row r="336" spans="16:17" x14ac:dyDescent="0.25">
      <c r="P336" s="125" t="str">
        <f t="shared" si="12"/>
        <v/>
      </c>
      <c r="Q336" s="126" t="str">
        <f t="shared" si="13"/>
        <v/>
      </c>
    </row>
    <row r="337" spans="16:17" x14ac:dyDescent="0.25">
      <c r="P337" s="125" t="str">
        <f t="shared" si="12"/>
        <v/>
      </c>
      <c r="Q337" s="126" t="str">
        <f t="shared" si="13"/>
        <v/>
      </c>
    </row>
    <row r="338" spans="16:17" x14ac:dyDescent="0.25">
      <c r="P338" s="125" t="str">
        <f t="shared" si="12"/>
        <v/>
      </c>
      <c r="Q338" s="126" t="str">
        <f t="shared" si="13"/>
        <v/>
      </c>
    </row>
    <row r="339" spans="16:17" x14ac:dyDescent="0.25">
      <c r="P339" s="125" t="str">
        <f t="shared" si="12"/>
        <v/>
      </c>
      <c r="Q339" s="126" t="str">
        <f t="shared" si="13"/>
        <v/>
      </c>
    </row>
    <row r="340" spans="16:17" x14ac:dyDescent="0.25">
      <c r="P340" s="125" t="str">
        <f t="shared" si="12"/>
        <v/>
      </c>
      <c r="Q340" s="126" t="str">
        <f t="shared" si="13"/>
        <v/>
      </c>
    </row>
    <row r="341" spans="16:17" x14ac:dyDescent="0.25">
      <c r="P341" s="125" t="str">
        <f t="shared" si="12"/>
        <v/>
      </c>
      <c r="Q341" s="126" t="str">
        <f t="shared" si="13"/>
        <v/>
      </c>
    </row>
    <row r="342" spans="16:17" x14ac:dyDescent="0.25">
      <c r="P342" s="125" t="str">
        <f t="shared" si="12"/>
        <v/>
      </c>
      <c r="Q342" s="126" t="str">
        <f t="shared" si="13"/>
        <v/>
      </c>
    </row>
    <row r="343" spans="16:17" x14ac:dyDescent="0.25">
      <c r="P343" s="125" t="str">
        <f t="shared" si="12"/>
        <v/>
      </c>
      <c r="Q343" s="126" t="str">
        <f t="shared" si="13"/>
        <v/>
      </c>
    </row>
    <row r="344" spans="16:17" x14ac:dyDescent="0.25">
      <c r="P344" s="125" t="str">
        <f t="shared" si="12"/>
        <v/>
      </c>
      <c r="Q344" s="126" t="str">
        <f t="shared" si="13"/>
        <v/>
      </c>
    </row>
    <row r="345" spans="16:17" x14ac:dyDescent="0.25">
      <c r="P345" s="125" t="str">
        <f t="shared" si="12"/>
        <v/>
      </c>
      <c r="Q345" s="126" t="str">
        <f t="shared" si="13"/>
        <v/>
      </c>
    </row>
    <row r="346" spans="16:17" x14ac:dyDescent="0.25">
      <c r="P346" s="125" t="str">
        <f t="shared" si="12"/>
        <v/>
      </c>
      <c r="Q346" s="126" t="str">
        <f t="shared" si="13"/>
        <v/>
      </c>
    </row>
    <row r="347" spans="16:17" x14ac:dyDescent="0.25">
      <c r="P347" s="125" t="str">
        <f t="shared" si="12"/>
        <v/>
      </c>
      <c r="Q347" s="126" t="str">
        <f t="shared" si="13"/>
        <v/>
      </c>
    </row>
    <row r="348" spans="16:17" x14ac:dyDescent="0.25">
      <c r="P348" s="125" t="str">
        <f t="shared" si="12"/>
        <v/>
      </c>
      <c r="Q348" s="126" t="str">
        <f t="shared" si="13"/>
        <v/>
      </c>
    </row>
    <row r="349" spans="16:17" x14ac:dyDescent="0.25">
      <c r="P349" s="125" t="str">
        <f t="shared" si="12"/>
        <v/>
      </c>
      <c r="Q349" s="126" t="str">
        <f t="shared" si="13"/>
        <v/>
      </c>
    </row>
    <row r="350" spans="16:17" x14ac:dyDescent="0.25">
      <c r="P350" s="125" t="str">
        <f t="shared" si="12"/>
        <v/>
      </c>
      <c r="Q350" s="126" t="str">
        <f t="shared" si="13"/>
        <v/>
      </c>
    </row>
    <row r="351" spans="16:17" x14ac:dyDescent="0.25">
      <c r="P351" s="125" t="str">
        <f t="shared" si="12"/>
        <v/>
      </c>
      <c r="Q351" s="126" t="str">
        <f t="shared" si="13"/>
        <v/>
      </c>
    </row>
    <row r="352" spans="16:17" x14ac:dyDescent="0.25">
      <c r="P352" s="125" t="str">
        <f t="shared" si="12"/>
        <v/>
      </c>
      <c r="Q352" s="126" t="str">
        <f t="shared" si="13"/>
        <v/>
      </c>
    </row>
    <row r="353" spans="16:17" x14ac:dyDescent="0.25">
      <c r="P353" s="125" t="str">
        <f t="shared" si="12"/>
        <v/>
      </c>
      <c r="Q353" s="126" t="str">
        <f t="shared" si="13"/>
        <v/>
      </c>
    </row>
    <row r="354" spans="16:17" x14ac:dyDescent="0.25">
      <c r="P354" s="125" t="str">
        <f t="shared" si="12"/>
        <v/>
      </c>
      <c r="Q354" s="126" t="str">
        <f t="shared" si="13"/>
        <v/>
      </c>
    </row>
    <row r="355" spans="16:17" x14ac:dyDescent="0.25">
      <c r="P355" s="125" t="str">
        <f t="shared" si="12"/>
        <v/>
      </c>
      <c r="Q355" s="126" t="str">
        <f t="shared" si="13"/>
        <v/>
      </c>
    </row>
    <row r="356" spans="16:17" x14ac:dyDescent="0.25">
      <c r="P356" s="125" t="str">
        <f t="shared" si="12"/>
        <v/>
      </c>
      <c r="Q356" s="126" t="str">
        <f t="shared" si="13"/>
        <v/>
      </c>
    </row>
    <row r="357" spans="16:17" x14ac:dyDescent="0.25">
      <c r="P357" s="125" t="str">
        <f t="shared" si="12"/>
        <v/>
      </c>
      <c r="Q357" s="126" t="str">
        <f t="shared" si="13"/>
        <v/>
      </c>
    </row>
    <row r="358" spans="16:17" x14ac:dyDescent="0.25">
      <c r="P358" s="125" t="str">
        <f t="shared" si="12"/>
        <v/>
      </c>
      <c r="Q358" s="126" t="str">
        <f t="shared" si="13"/>
        <v/>
      </c>
    </row>
    <row r="359" spans="16:17" x14ac:dyDescent="0.25">
      <c r="P359" s="125" t="str">
        <f t="shared" si="12"/>
        <v/>
      </c>
      <c r="Q359" s="126" t="str">
        <f t="shared" si="13"/>
        <v/>
      </c>
    </row>
    <row r="360" spans="16:17" x14ac:dyDescent="0.25">
      <c r="P360" s="125" t="str">
        <f t="shared" si="12"/>
        <v/>
      </c>
      <c r="Q360" s="126" t="str">
        <f t="shared" si="13"/>
        <v/>
      </c>
    </row>
    <row r="361" spans="16:17" x14ac:dyDescent="0.25">
      <c r="P361" s="125" t="str">
        <f t="shared" si="12"/>
        <v/>
      </c>
      <c r="Q361" s="126" t="str">
        <f t="shared" si="13"/>
        <v/>
      </c>
    </row>
    <row r="362" spans="16:17" x14ac:dyDescent="0.25">
      <c r="P362" s="125" t="str">
        <f t="shared" si="12"/>
        <v/>
      </c>
      <c r="Q362" s="126" t="str">
        <f t="shared" si="13"/>
        <v/>
      </c>
    </row>
    <row r="363" spans="16:17" x14ac:dyDescent="0.25">
      <c r="P363" s="125" t="str">
        <f t="shared" si="12"/>
        <v/>
      </c>
      <c r="Q363" s="126" t="str">
        <f t="shared" si="13"/>
        <v/>
      </c>
    </row>
    <row r="364" spans="16:17" x14ac:dyDescent="0.25">
      <c r="P364" s="125" t="str">
        <f t="shared" si="12"/>
        <v/>
      </c>
      <c r="Q364" s="126" t="str">
        <f t="shared" si="13"/>
        <v/>
      </c>
    </row>
    <row r="365" spans="16:17" x14ac:dyDescent="0.25">
      <c r="P365" s="125" t="str">
        <f t="shared" si="12"/>
        <v/>
      </c>
      <c r="Q365" s="126" t="str">
        <f t="shared" si="13"/>
        <v/>
      </c>
    </row>
    <row r="366" spans="16:17" x14ac:dyDescent="0.25">
      <c r="P366" s="125" t="str">
        <f t="shared" si="12"/>
        <v/>
      </c>
      <c r="Q366" s="126" t="str">
        <f t="shared" si="13"/>
        <v/>
      </c>
    </row>
    <row r="367" spans="16:17" x14ac:dyDescent="0.25">
      <c r="P367" s="125" t="str">
        <f t="shared" si="12"/>
        <v/>
      </c>
      <c r="Q367" s="126" t="str">
        <f t="shared" si="13"/>
        <v/>
      </c>
    </row>
    <row r="368" spans="16:17" x14ac:dyDescent="0.25">
      <c r="P368" s="125" t="str">
        <f t="shared" si="12"/>
        <v/>
      </c>
      <c r="Q368" s="126" t="str">
        <f t="shared" si="13"/>
        <v/>
      </c>
    </row>
    <row r="369" spans="16:17" x14ac:dyDescent="0.25">
      <c r="P369" s="125" t="str">
        <f t="shared" si="12"/>
        <v/>
      </c>
      <c r="Q369" s="126" t="str">
        <f t="shared" si="13"/>
        <v/>
      </c>
    </row>
    <row r="370" spans="16:17" x14ac:dyDescent="0.25">
      <c r="P370" s="125" t="str">
        <f t="shared" si="12"/>
        <v/>
      </c>
      <c r="Q370" s="126" t="str">
        <f t="shared" si="13"/>
        <v/>
      </c>
    </row>
    <row r="371" spans="16:17" x14ac:dyDescent="0.25">
      <c r="P371" s="125" t="str">
        <f t="shared" si="12"/>
        <v/>
      </c>
      <c r="Q371" s="126" t="str">
        <f t="shared" si="13"/>
        <v/>
      </c>
    </row>
    <row r="372" spans="16:17" x14ac:dyDescent="0.25">
      <c r="P372" s="125" t="str">
        <f t="shared" si="12"/>
        <v/>
      </c>
      <c r="Q372" s="126" t="str">
        <f t="shared" si="13"/>
        <v/>
      </c>
    </row>
    <row r="373" spans="16:17" x14ac:dyDescent="0.25">
      <c r="P373" s="125" t="str">
        <f t="shared" si="12"/>
        <v/>
      </c>
      <c r="Q373" s="126" t="str">
        <f t="shared" si="13"/>
        <v/>
      </c>
    </row>
    <row r="374" spans="16:17" x14ac:dyDescent="0.25">
      <c r="P374" s="125" t="str">
        <f t="shared" si="12"/>
        <v/>
      </c>
      <c r="Q374" s="126" t="str">
        <f t="shared" si="13"/>
        <v/>
      </c>
    </row>
    <row r="375" spans="16:17" x14ac:dyDescent="0.25">
      <c r="P375" s="125" t="str">
        <f t="shared" si="12"/>
        <v/>
      </c>
      <c r="Q375" s="126" t="str">
        <f t="shared" si="13"/>
        <v/>
      </c>
    </row>
    <row r="376" spans="16:17" x14ac:dyDescent="0.25">
      <c r="P376" s="125" t="str">
        <f t="shared" si="12"/>
        <v/>
      </c>
      <c r="Q376" s="126" t="str">
        <f t="shared" si="13"/>
        <v/>
      </c>
    </row>
    <row r="377" spans="16:17" x14ac:dyDescent="0.25">
      <c r="P377" s="125" t="str">
        <f t="shared" si="12"/>
        <v/>
      </c>
      <c r="Q377" s="126" t="str">
        <f t="shared" si="13"/>
        <v/>
      </c>
    </row>
    <row r="378" spans="16:17" x14ac:dyDescent="0.25">
      <c r="P378" s="128">
        <f t="shared" ref="P378:P390" si="14">IF(COUNTA(B6:O6)=0,"",SUM(B6:O6))</f>
        <v>27</v>
      </c>
      <c r="Q378" s="129">
        <f t="shared" ref="Q378:Q389" si="15">IF(COUNTA(B6:O6)=0,"",SUM(B6:O6)/$P$4)</f>
        <v>0.93103448275862066</v>
      </c>
    </row>
    <row r="379" spans="16:17" x14ac:dyDescent="0.25">
      <c r="P379" s="128">
        <f t="shared" si="14"/>
        <v>28</v>
      </c>
      <c r="Q379" s="129">
        <f t="shared" si="15"/>
        <v>0.96551724137931039</v>
      </c>
    </row>
    <row r="380" spans="16:17" x14ac:dyDescent="0.25">
      <c r="P380" s="128">
        <f t="shared" si="14"/>
        <v>24</v>
      </c>
      <c r="Q380" s="129">
        <f t="shared" si="15"/>
        <v>0.82758620689655171</v>
      </c>
    </row>
    <row r="381" spans="16:17" x14ac:dyDescent="0.25">
      <c r="P381" s="128">
        <f t="shared" si="14"/>
        <v>28</v>
      </c>
      <c r="Q381" s="129">
        <f t="shared" si="15"/>
        <v>0.96551724137931039</v>
      </c>
    </row>
    <row r="382" spans="16:17" x14ac:dyDescent="0.25">
      <c r="P382" s="128">
        <f t="shared" si="14"/>
        <v>25</v>
      </c>
      <c r="Q382" s="129">
        <f t="shared" si="15"/>
        <v>0.86206896551724133</v>
      </c>
    </row>
    <row r="383" spans="16:17" x14ac:dyDescent="0.25">
      <c r="P383" s="128">
        <f t="shared" si="14"/>
        <v>28</v>
      </c>
      <c r="Q383" s="129">
        <f t="shared" si="15"/>
        <v>0.96551724137931039</v>
      </c>
    </row>
    <row r="384" spans="16:17" x14ac:dyDescent="0.25">
      <c r="P384" s="128">
        <f t="shared" si="14"/>
        <v>29</v>
      </c>
      <c r="Q384" s="129">
        <f t="shared" si="15"/>
        <v>1</v>
      </c>
    </row>
    <row r="385" spans="16:17" x14ac:dyDescent="0.25">
      <c r="P385" s="128">
        <f t="shared" si="14"/>
        <v>27</v>
      </c>
      <c r="Q385" s="129">
        <f t="shared" si="15"/>
        <v>0.93103448275862066</v>
      </c>
    </row>
    <row r="386" spans="16:17" x14ac:dyDescent="0.25">
      <c r="P386" s="128">
        <f t="shared" si="14"/>
        <v>27</v>
      </c>
      <c r="Q386" s="129">
        <f t="shared" si="15"/>
        <v>0.93103448275862066</v>
      </c>
    </row>
    <row r="387" spans="16:17" x14ac:dyDescent="0.25">
      <c r="P387" s="128">
        <f t="shared" si="14"/>
        <v>23</v>
      </c>
      <c r="Q387" s="129">
        <f t="shared" si="15"/>
        <v>0.7931034482758621</v>
      </c>
    </row>
    <row r="388" spans="16:17" x14ac:dyDescent="0.25">
      <c r="P388" s="128">
        <f t="shared" si="14"/>
        <v>26</v>
      </c>
      <c r="Q388" s="129">
        <f t="shared" si="15"/>
        <v>0.89655172413793105</v>
      </c>
    </row>
    <row r="389" spans="16:17" x14ac:dyDescent="0.25">
      <c r="P389" s="128">
        <f t="shared" si="14"/>
        <v>26</v>
      </c>
      <c r="Q389" s="129">
        <f t="shared" si="15"/>
        <v>0.89655172413793105</v>
      </c>
    </row>
    <row r="390" spans="16:17" x14ac:dyDescent="0.25">
      <c r="P390" s="128">
        <f t="shared" si="14"/>
        <v>26</v>
      </c>
      <c r="Q390" s="129">
        <f t="shared" ref="Q390:Q453" si="16">IF(COUNTA(B18:O18)=0,"",SUM(B18:O18)/$P$4)</f>
        <v>0.89655172413793105</v>
      </c>
    </row>
    <row r="391" spans="16:17" x14ac:dyDescent="0.25">
      <c r="P391" s="128">
        <f t="shared" ref="P391:P454" si="17">IF(COUNTA(B19:O19)=0,"",SUM(B19:O19))</f>
        <v>29</v>
      </c>
      <c r="Q391" s="129">
        <f t="shared" si="16"/>
        <v>1</v>
      </c>
    </row>
    <row r="392" spans="16:17" x14ac:dyDescent="0.25">
      <c r="P392" s="128">
        <f t="shared" si="17"/>
        <v>29</v>
      </c>
      <c r="Q392" s="129">
        <f t="shared" si="16"/>
        <v>1</v>
      </c>
    </row>
    <row r="393" spans="16:17" x14ac:dyDescent="0.25">
      <c r="P393" s="128">
        <f t="shared" si="17"/>
        <v>28</v>
      </c>
      <c r="Q393" s="129">
        <f t="shared" si="16"/>
        <v>0.96551724137931039</v>
      </c>
    </row>
    <row r="394" spans="16:17" x14ac:dyDescent="0.25">
      <c r="P394" s="128">
        <f t="shared" si="17"/>
        <v>22</v>
      </c>
      <c r="Q394" s="129">
        <f t="shared" si="16"/>
        <v>0.75862068965517238</v>
      </c>
    </row>
    <row r="395" spans="16:17" x14ac:dyDescent="0.25">
      <c r="P395" s="128">
        <f t="shared" si="17"/>
        <v>27</v>
      </c>
      <c r="Q395" s="129">
        <f t="shared" si="16"/>
        <v>0.93103448275862066</v>
      </c>
    </row>
    <row r="396" spans="16:17" x14ac:dyDescent="0.25">
      <c r="P396" s="128" t="str">
        <f t="shared" si="17"/>
        <v/>
      </c>
      <c r="Q396" s="129" t="str">
        <f t="shared" si="16"/>
        <v/>
      </c>
    </row>
    <row r="397" spans="16:17" x14ac:dyDescent="0.25">
      <c r="P397" s="128" t="str">
        <f t="shared" si="17"/>
        <v/>
      </c>
      <c r="Q397" s="129" t="str">
        <f t="shared" si="16"/>
        <v/>
      </c>
    </row>
    <row r="398" spans="16:17" x14ac:dyDescent="0.25">
      <c r="P398" s="128" t="str">
        <f t="shared" si="17"/>
        <v/>
      </c>
      <c r="Q398" s="129" t="str">
        <f t="shared" si="16"/>
        <v/>
      </c>
    </row>
    <row r="399" spans="16:17" x14ac:dyDescent="0.25">
      <c r="P399" s="128" t="str">
        <f t="shared" si="17"/>
        <v/>
      </c>
      <c r="Q399" s="129" t="str">
        <f t="shared" si="16"/>
        <v/>
      </c>
    </row>
    <row r="400" spans="16:17" x14ac:dyDescent="0.25">
      <c r="P400" s="128" t="str">
        <f t="shared" si="17"/>
        <v/>
      </c>
      <c r="Q400" s="129" t="str">
        <f t="shared" si="16"/>
        <v/>
      </c>
    </row>
    <row r="401" spans="16:17" x14ac:dyDescent="0.25">
      <c r="P401" s="128" t="str">
        <f t="shared" si="17"/>
        <v/>
      </c>
      <c r="Q401" s="129" t="str">
        <f t="shared" si="16"/>
        <v/>
      </c>
    </row>
    <row r="402" spans="16:17" x14ac:dyDescent="0.25">
      <c r="P402" s="128" t="str">
        <f t="shared" si="17"/>
        <v/>
      </c>
      <c r="Q402" s="129" t="str">
        <f t="shared" si="16"/>
        <v/>
      </c>
    </row>
    <row r="403" spans="16:17" x14ac:dyDescent="0.25">
      <c r="P403" s="128" t="str">
        <f t="shared" si="17"/>
        <v/>
      </c>
      <c r="Q403" s="129" t="str">
        <f t="shared" si="16"/>
        <v/>
      </c>
    </row>
    <row r="404" spans="16:17" x14ac:dyDescent="0.25">
      <c r="P404" s="128" t="str">
        <f t="shared" si="17"/>
        <v/>
      </c>
      <c r="Q404" s="129" t="str">
        <f t="shared" si="16"/>
        <v/>
      </c>
    </row>
    <row r="405" spans="16:17" x14ac:dyDescent="0.25">
      <c r="P405" s="128" t="str">
        <f t="shared" si="17"/>
        <v/>
      </c>
      <c r="Q405" s="129" t="str">
        <f t="shared" si="16"/>
        <v/>
      </c>
    </row>
    <row r="406" spans="16:17" x14ac:dyDescent="0.25">
      <c r="P406" s="128" t="str">
        <f t="shared" si="17"/>
        <v/>
      </c>
      <c r="Q406" s="129" t="str">
        <f t="shared" si="16"/>
        <v/>
      </c>
    </row>
    <row r="407" spans="16:17" x14ac:dyDescent="0.25">
      <c r="P407" s="128" t="str">
        <f t="shared" si="17"/>
        <v/>
      </c>
      <c r="Q407" s="129" t="str">
        <f t="shared" si="16"/>
        <v/>
      </c>
    </row>
    <row r="408" spans="16:17" x14ac:dyDescent="0.25">
      <c r="P408" s="128" t="str">
        <f t="shared" si="17"/>
        <v/>
      </c>
      <c r="Q408" s="129" t="str">
        <f t="shared" si="16"/>
        <v/>
      </c>
    </row>
    <row r="409" spans="16:17" x14ac:dyDescent="0.25">
      <c r="P409" s="128" t="str">
        <f t="shared" si="17"/>
        <v/>
      </c>
      <c r="Q409" s="129" t="str">
        <f t="shared" si="16"/>
        <v/>
      </c>
    </row>
    <row r="410" spans="16:17" x14ac:dyDescent="0.25">
      <c r="P410" s="128" t="str">
        <f t="shared" si="17"/>
        <v/>
      </c>
      <c r="Q410" s="129" t="str">
        <f t="shared" si="16"/>
        <v/>
      </c>
    </row>
    <row r="411" spans="16:17" x14ac:dyDescent="0.25">
      <c r="P411" s="128" t="str">
        <f t="shared" si="17"/>
        <v/>
      </c>
      <c r="Q411" s="129" t="str">
        <f t="shared" si="16"/>
        <v/>
      </c>
    </row>
    <row r="412" spans="16:17" x14ac:dyDescent="0.25">
      <c r="P412" s="128" t="str">
        <f t="shared" si="17"/>
        <v/>
      </c>
      <c r="Q412" s="129" t="str">
        <f t="shared" si="16"/>
        <v/>
      </c>
    </row>
    <row r="413" spans="16:17" x14ac:dyDescent="0.25">
      <c r="P413" s="128" t="str">
        <f t="shared" si="17"/>
        <v/>
      </c>
      <c r="Q413" s="129" t="str">
        <f t="shared" si="16"/>
        <v/>
      </c>
    </row>
    <row r="414" spans="16:17" x14ac:dyDescent="0.25">
      <c r="P414" s="128" t="str">
        <f t="shared" si="17"/>
        <v/>
      </c>
      <c r="Q414" s="129" t="str">
        <f t="shared" si="16"/>
        <v/>
      </c>
    </row>
    <row r="415" spans="16:17" x14ac:dyDescent="0.25">
      <c r="P415" s="128" t="str">
        <f t="shared" si="17"/>
        <v/>
      </c>
      <c r="Q415" s="129" t="str">
        <f t="shared" si="16"/>
        <v/>
      </c>
    </row>
    <row r="416" spans="16:17" x14ac:dyDescent="0.25">
      <c r="P416" s="128" t="str">
        <f t="shared" si="17"/>
        <v/>
      </c>
      <c r="Q416" s="129" t="str">
        <f t="shared" si="16"/>
        <v/>
      </c>
    </row>
    <row r="417" spans="16:17" x14ac:dyDescent="0.25">
      <c r="P417" s="128" t="str">
        <f t="shared" si="17"/>
        <v/>
      </c>
      <c r="Q417" s="129" t="str">
        <f t="shared" si="16"/>
        <v/>
      </c>
    </row>
    <row r="418" spans="16:17" x14ac:dyDescent="0.25">
      <c r="P418" s="128" t="str">
        <f t="shared" si="17"/>
        <v/>
      </c>
      <c r="Q418" s="129" t="str">
        <f t="shared" si="16"/>
        <v/>
      </c>
    </row>
    <row r="419" spans="16:17" x14ac:dyDescent="0.25">
      <c r="P419" s="128" t="str">
        <f t="shared" si="17"/>
        <v/>
      </c>
      <c r="Q419" s="129" t="str">
        <f t="shared" si="16"/>
        <v/>
      </c>
    </row>
    <row r="420" spans="16:17" x14ac:dyDescent="0.25">
      <c r="P420" s="128" t="str">
        <f t="shared" si="17"/>
        <v/>
      </c>
      <c r="Q420" s="129" t="str">
        <f t="shared" si="16"/>
        <v/>
      </c>
    </row>
    <row r="421" spans="16:17" x14ac:dyDescent="0.25">
      <c r="P421" s="128" t="str">
        <f t="shared" si="17"/>
        <v/>
      </c>
      <c r="Q421" s="129" t="str">
        <f t="shared" si="16"/>
        <v/>
      </c>
    </row>
    <row r="422" spans="16:17" x14ac:dyDescent="0.25">
      <c r="P422" s="128" t="str">
        <f t="shared" si="17"/>
        <v/>
      </c>
      <c r="Q422" s="129" t="str">
        <f t="shared" si="16"/>
        <v/>
      </c>
    </row>
    <row r="423" spans="16:17" x14ac:dyDescent="0.25">
      <c r="P423" s="128" t="str">
        <f t="shared" si="17"/>
        <v/>
      </c>
      <c r="Q423" s="129" t="str">
        <f t="shared" si="16"/>
        <v/>
      </c>
    </row>
    <row r="424" spans="16:17" x14ac:dyDescent="0.25">
      <c r="P424" s="128" t="str">
        <f t="shared" si="17"/>
        <v/>
      </c>
      <c r="Q424" s="129" t="str">
        <f t="shared" si="16"/>
        <v/>
      </c>
    </row>
    <row r="425" spans="16:17" x14ac:dyDescent="0.25">
      <c r="P425" s="128" t="str">
        <f t="shared" si="17"/>
        <v/>
      </c>
      <c r="Q425" s="129" t="str">
        <f t="shared" si="16"/>
        <v/>
      </c>
    </row>
    <row r="426" spans="16:17" x14ac:dyDescent="0.25">
      <c r="P426" s="128" t="str">
        <f t="shared" si="17"/>
        <v/>
      </c>
      <c r="Q426" s="129" t="str">
        <f t="shared" si="16"/>
        <v/>
      </c>
    </row>
    <row r="427" spans="16:17" x14ac:dyDescent="0.25">
      <c r="P427" s="128" t="str">
        <f t="shared" si="17"/>
        <v/>
      </c>
      <c r="Q427" s="129" t="str">
        <f t="shared" si="16"/>
        <v/>
      </c>
    </row>
    <row r="428" spans="16:17" x14ac:dyDescent="0.25">
      <c r="P428" s="128" t="str">
        <f t="shared" si="17"/>
        <v/>
      </c>
      <c r="Q428" s="129" t="str">
        <f t="shared" si="16"/>
        <v/>
      </c>
    </row>
    <row r="429" spans="16:17" x14ac:dyDescent="0.25">
      <c r="P429" s="128" t="str">
        <f t="shared" si="17"/>
        <v/>
      </c>
      <c r="Q429" s="129" t="str">
        <f t="shared" si="16"/>
        <v/>
      </c>
    </row>
    <row r="430" spans="16:17" x14ac:dyDescent="0.25">
      <c r="P430" s="128" t="str">
        <f t="shared" si="17"/>
        <v/>
      </c>
      <c r="Q430" s="129" t="str">
        <f t="shared" si="16"/>
        <v/>
      </c>
    </row>
    <row r="431" spans="16:17" x14ac:dyDescent="0.25">
      <c r="P431" s="128" t="str">
        <f t="shared" si="17"/>
        <v/>
      </c>
      <c r="Q431" s="129" t="str">
        <f t="shared" si="16"/>
        <v/>
      </c>
    </row>
    <row r="432" spans="16:17" x14ac:dyDescent="0.25">
      <c r="P432" s="128" t="str">
        <f t="shared" si="17"/>
        <v/>
      </c>
      <c r="Q432" s="129" t="str">
        <f t="shared" si="16"/>
        <v/>
      </c>
    </row>
    <row r="433" spans="16:17" x14ac:dyDescent="0.25">
      <c r="P433" s="128" t="str">
        <f t="shared" si="17"/>
        <v/>
      </c>
      <c r="Q433" s="129" t="str">
        <f t="shared" si="16"/>
        <v/>
      </c>
    </row>
    <row r="434" spans="16:17" x14ac:dyDescent="0.25">
      <c r="P434" s="128" t="str">
        <f t="shared" si="17"/>
        <v/>
      </c>
      <c r="Q434" s="129" t="str">
        <f t="shared" si="16"/>
        <v/>
      </c>
    </row>
    <row r="435" spans="16:17" x14ac:dyDescent="0.25">
      <c r="P435" s="128" t="str">
        <f t="shared" si="17"/>
        <v/>
      </c>
      <c r="Q435" s="129" t="str">
        <f t="shared" si="16"/>
        <v/>
      </c>
    </row>
    <row r="436" spans="16:17" x14ac:dyDescent="0.25">
      <c r="P436" s="128" t="str">
        <f t="shared" si="17"/>
        <v/>
      </c>
      <c r="Q436" s="129" t="str">
        <f t="shared" si="16"/>
        <v/>
      </c>
    </row>
    <row r="437" spans="16:17" x14ac:dyDescent="0.25">
      <c r="P437" s="128" t="str">
        <f t="shared" si="17"/>
        <v/>
      </c>
      <c r="Q437" s="129" t="str">
        <f t="shared" si="16"/>
        <v/>
      </c>
    </row>
    <row r="438" spans="16:17" x14ac:dyDescent="0.25">
      <c r="P438" s="128" t="str">
        <f t="shared" si="17"/>
        <v/>
      </c>
      <c r="Q438" s="129" t="str">
        <f t="shared" si="16"/>
        <v/>
      </c>
    </row>
    <row r="439" spans="16:17" x14ac:dyDescent="0.25">
      <c r="P439" s="128" t="str">
        <f t="shared" si="17"/>
        <v/>
      </c>
      <c r="Q439" s="129" t="str">
        <f t="shared" si="16"/>
        <v/>
      </c>
    </row>
    <row r="440" spans="16:17" x14ac:dyDescent="0.25">
      <c r="P440" s="128" t="str">
        <f t="shared" si="17"/>
        <v/>
      </c>
      <c r="Q440" s="129" t="str">
        <f t="shared" si="16"/>
        <v/>
      </c>
    </row>
    <row r="441" spans="16:17" x14ac:dyDescent="0.25">
      <c r="P441" s="128" t="str">
        <f t="shared" si="17"/>
        <v/>
      </c>
      <c r="Q441" s="129" t="str">
        <f t="shared" si="16"/>
        <v/>
      </c>
    </row>
    <row r="442" spans="16:17" x14ac:dyDescent="0.25">
      <c r="P442" s="128" t="str">
        <f t="shared" si="17"/>
        <v/>
      </c>
      <c r="Q442" s="129" t="str">
        <f t="shared" si="16"/>
        <v/>
      </c>
    </row>
    <row r="443" spans="16:17" x14ac:dyDescent="0.25">
      <c r="P443" s="128" t="str">
        <f t="shared" si="17"/>
        <v/>
      </c>
      <c r="Q443" s="129" t="str">
        <f t="shared" si="16"/>
        <v/>
      </c>
    </row>
    <row r="444" spans="16:17" x14ac:dyDescent="0.25">
      <c r="P444" s="128" t="str">
        <f t="shared" si="17"/>
        <v/>
      </c>
      <c r="Q444" s="129" t="str">
        <f t="shared" si="16"/>
        <v/>
      </c>
    </row>
    <row r="445" spans="16:17" x14ac:dyDescent="0.25">
      <c r="P445" s="128" t="str">
        <f t="shared" si="17"/>
        <v/>
      </c>
      <c r="Q445" s="129" t="str">
        <f t="shared" si="16"/>
        <v/>
      </c>
    </row>
    <row r="446" spans="16:17" x14ac:dyDescent="0.25">
      <c r="P446" s="128" t="str">
        <f t="shared" si="17"/>
        <v/>
      </c>
      <c r="Q446" s="129" t="str">
        <f t="shared" si="16"/>
        <v/>
      </c>
    </row>
    <row r="447" spans="16:17" x14ac:dyDescent="0.25">
      <c r="P447" s="128" t="str">
        <f t="shared" si="17"/>
        <v/>
      </c>
      <c r="Q447" s="129" t="str">
        <f t="shared" si="16"/>
        <v/>
      </c>
    </row>
    <row r="448" spans="16:17" x14ac:dyDescent="0.25">
      <c r="P448" s="128" t="str">
        <f t="shared" si="17"/>
        <v/>
      </c>
      <c r="Q448" s="129" t="str">
        <f t="shared" si="16"/>
        <v/>
      </c>
    </row>
    <row r="449" spans="16:17" x14ac:dyDescent="0.25">
      <c r="P449" s="128" t="str">
        <f t="shared" si="17"/>
        <v/>
      </c>
      <c r="Q449" s="129" t="str">
        <f t="shared" si="16"/>
        <v/>
      </c>
    </row>
    <row r="450" spans="16:17" x14ac:dyDescent="0.25">
      <c r="P450" s="128" t="str">
        <f t="shared" si="17"/>
        <v/>
      </c>
      <c r="Q450" s="129" t="str">
        <f t="shared" si="16"/>
        <v/>
      </c>
    </row>
    <row r="451" spans="16:17" x14ac:dyDescent="0.25">
      <c r="P451" s="128" t="str">
        <f t="shared" si="17"/>
        <v/>
      </c>
      <c r="Q451" s="129" t="str">
        <f t="shared" si="16"/>
        <v/>
      </c>
    </row>
    <row r="452" spans="16:17" x14ac:dyDescent="0.25">
      <c r="P452" s="128" t="str">
        <f t="shared" si="17"/>
        <v/>
      </c>
      <c r="Q452" s="129" t="str">
        <f t="shared" si="16"/>
        <v/>
      </c>
    </row>
    <row r="453" spans="16:17" x14ac:dyDescent="0.25">
      <c r="P453" s="128" t="str">
        <f t="shared" si="17"/>
        <v/>
      </c>
      <c r="Q453" s="129" t="str">
        <f t="shared" si="16"/>
        <v/>
      </c>
    </row>
    <row r="454" spans="16:17" x14ac:dyDescent="0.25">
      <c r="P454" s="128" t="str">
        <f t="shared" si="17"/>
        <v/>
      </c>
      <c r="Q454" s="129" t="str">
        <f t="shared" ref="Q454:Q517" si="18">IF(COUNTA(B82:O82)=0,"",SUM(B82:O82)/$P$4)</f>
        <v/>
      </c>
    </row>
    <row r="455" spans="16:17" x14ac:dyDescent="0.25">
      <c r="P455" s="128" t="str">
        <f t="shared" ref="P455:P518" si="19">IF(COUNTA(B83:O83)=0,"",SUM(B83:O83))</f>
        <v/>
      </c>
      <c r="Q455" s="129" t="str">
        <f t="shared" si="18"/>
        <v/>
      </c>
    </row>
    <row r="456" spans="16:17" x14ac:dyDescent="0.25">
      <c r="P456" s="128" t="str">
        <f t="shared" si="19"/>
        <v/>
      </c>
      <c r="Q456" s="129" t="str">
        <f t="shared" si="18"/>
        <v/>
      </c>
    </row>
    <row r="457" spans="16:17" x14ac:dyDescent="0.25">
      <c r="P457" s="128" t="str">
        <f t="shared" si="19"/>
        <v/>
      </c>
      <c r="Q457" s="129" t="str">
        <f t="shared" si="18"/>
        <v/>
      </c>
    </row>
    <row r="458" spans="16:17" x14ac:dyDescent="0.25">
      <c r="P458" s="128" t="str">
        <f t="shared" si="19"/>
        <v/>
      </c>
      <c r="Q458" s="129" t="str">
        <f t="shared" si="18"/>
        <v/>
      </c>
    </row>
    <row r="459" spans="16:17" x14ac:dyDescent="0.25">
      <c r="P459" s="128" t="str">
        <f t="shared" si="19"/>
        <v/>
      </c>
      <c r="Q459" s="129" t="str">
        <f t="shared" si="18"/>
        <v/>
      </c>
    </row>
    <row r="460" spans="16:17" x14ac:dyDescent="0.25">
      <c r="P460" s="128" t="str">
        <f t="shared" si="19"/>
        <v/>
      </c>
      <c r="Q460" s="129" t="str">
        <f t="shared" si="18"/>
        <v/>
      </c>
    </row>
    <row r="461" spans="16:17" x14ac:dyDescent="0.25">
      <c r="P461" s="128" t="str">
        <f t="shared" si="19"/>
        <v/>
      </c>
      <c r="Q461" s="129" t="str">
        <f t="shared" si="18"/>
        <v/>
      </c>
    </row>
    <row r="462" spans="16:17" x14ac:dyDescent="0.25">
      <c r="P462" s="128" t="str">
        <f t="shared" si="19"/>
        <v/>
      </c>
      <c r="Q462" s="129" t="str">
        <f t="shared" si="18"/>
        <v/>
      </c>
    </row>
    <row r="463" spans="16:17" x14ac:dyDescent="0.25">
      <c r="P463" s="128" t="str">
        <f t="shared" si="19"/>
        <v/>
      </c>
      <c r="Q463" s="129" t="str">
        <f t="shared" si="18"/>
        <v/>
      </c>
    </row>
    <row r="464" spans="16:17" x14ac:dyDescent="0.25">
      <c r="P464" s="128" t="str">
        <f t="shared" si="19"/>
        <v/>
      </c>
      <c r="Q464" s="129" t="str">
        <f t="shared" si="18"/>
        <v/>
      </c>
    </row>
    <row r="465" spans="16:17" x14ac:dyDescent="0.25">
      <c r="P465" s="128" t="str">
        <f t="shared" si="19"/>
        <v/>
      </c>
      <c r="Q465" s="129" t="str">
        <f t="shared" si="18"/>
        <v/>
      </c>
    </row>
    <row r="466" spans="16:17" x14ac:dyDescent="0.25">
      <c r="P466" s="128" t="str">
        <f t="shared" si="19"/>
        <v/>
      </c>
      <c r="Q466" s="129" t="str">
        <f t="shared" si="18"/>
        <v/>
      </c>
    </row>
    <row r="467" spans="16:17" x14ac:dyDescent="0.25">
      <c r="P467" s="128" t="str">
        <f t="shared" si="19"/>
        <v/>
      </c>
      <c r="Q467" s="129" t="str">
        <f t="shared" si="18"/>
        <v/>
      </c>
    </row>
    <row r="468" spans="16:17" x14ac:dyDescent="0.25">
      <c r="P468" s="128" t="str">
        <f t="shared" si="19"/>
        <v/>
      </c>
      <c r="Q468" s="129" t="str">
        <f t="shared" si="18"/>
        <v/>
      </c>
    </row>
    <row r="469" spans="16:17" x14ac:dyDescent="0.25">
      <c r="P469" s="128" t="str">
        <f t="shared" si="19"/>
        <v/>
      </c>
      <c r="Q469" s="129" t="str">
        <f t="shared" si="18"/>
        <v/>
      </c>
    </row>
    <row r="470" spans="16:17" x14ac:dyDescent="0.25">
      <c r="P470" s="128" t="str">
        <f t="shared" si="19"/>
        <v/>
      </c>
      <c r="Q470" s="129" t="str">
        <f t="shared" si="18"/>
        <v/>
      </c>
    </row>
    <row r="471" spans="16:17" x14ac:dyDescent="0.25">
      <c r="P471" s="128" t="str">
        <f t="shared" si="19"/>
        <v/>
      </c>
      <c r="Q471" s="129" t="str">
        <f t="shared" si="18"/>
        <v/>
      </c>
    </row>
    <row r="472" spans="16:17" x14ac:dyDescent="0.25">
      <c r="P472" s="128" t="str">
        <f t="shared" si="19"/>
        <v/>
      </c>
      <c r="Q472" s="129" t="str">
        <f t="shared" si="18"/>
        <v/>
      </c>
    </row>
    <row r="473" spans="16:17" x14ac:dyDescent="0.25">
      <c r="P473" s="128" t="str">
        <f t="shared" si="19"/>
        <v/>
      </c>
      <c r="Q473" s="129" t="str">
        <f t="shared" si="18"/>
        <v/>
      </c>
    </row>
    <row r="474" spans="16:17" x14ac:dyDescent="0.25">
      <c r="P474" s="128" t="str">
        <f t="shared" si="19"/>
        <v/>
      </c>
      <c r="Q474" s="129" t="str">
        <f t="shared" si="18"/>
        <v/>
      </c>
    </row>
    <row r="475" spans="16:17" x14ac:dyDescent="0.25">
      <c r="P475" s="128" t="str">
        <f t="shared" si="19"/>
        <v/>
      </c>
      <c r="Q475" s="129" t="str">
        <f t="shared" si="18"/>
        <v/>
      </c>
    </row>
    <row r="476" spans="16:17" x14ac:dyDescent="0.25">
      <c r="P476" s="128" t="str">
        <f t="shared" si="19"/>
        <v/>
      </c>
      <c r="Q476" s="129" t="str">
        <f t="shared" si="18"/>
        <v/>
      </c>
    </row>
    <row r="477" spans="16:17" x14ac:dyDescent="0.25">
      <c r="P477" s="128" t="str">
        <f t="shared" si="19"/>
        <v/>
      </c>
      <c r="Q477" s="129" t="str">
        <f t="shared" si="18"/>
        <v/>
      </c>
    </row>
    <row r="478" spans="16:17" x14ac:dyDescent="0.25">
      <c r="P478" s="128" t="str">
        <f t="shared" si="19"/>
        <v/>
      </c>
      <c r="Q478" s="129" t="str">
        <f t="shared" si="18"/>
        <v/>
      </c>
    </row>
    <row r="479" spans="16:17" x14ac:dyDescent="0.25">
      <c r="P479" s="128" t="str">
        <f t="shared" si="19"/>
        <v/>
      </c>
      <c r="Q479" s="129" t="str">
        <f t="shared" si="18"/>
        <v/>
      </c>
    </row>
    <row r="480" spans="16:17" x14ac:dyDescent="0.25">
      <c r="P480" s="128" t="str">
        <f t="shared" si="19"/>
        <v/>
      </c>
      <c r="Q480" s="129" t="str">
        <f t="shared" si="18"/>
        <v/>
      </c>
    </row>
    <row r="481" spans="16:17" x14ac:dyDescent="0.25">
      <c r="P481" s="128" t="str">
        <f t="shared" si="19"/>
        <v/>
      </c>
      <c r="Q481" s="129" t="str">
        <f t="shared" si="18"/>
        <v/>
      </c>
    </row>
    <row r="482" spans="16:17" x14ac:dyDescent="0.25">
      <c r="P482" s="128" t="str">
        <f t="shared" si="19"/>
        <v/>
      </c>
      <c r="Q482" s="129" t="str">
        <f t="shared" si="18"/>
        <v/>
      </c>
    </row>
    <row r="483" spans="16:17" x14ac:dyDescent="0.25">
      <c r="P483" s="128" t="str">
        <f t="shared" si="19"/>
        <v/>
      </c>
      <c r="Q483" s="129" t="str">
        <f t="shared" si="18"/>
        <v/>
      </c>
    </row>
    <row r="484" spans="16:17" x14ac:dyDescent="0.25">
      <c r="P484" s="128" t="str">
        <f t="shared" si="19"/>
        <v/>
      </c>
      <c r="Q484" s="129" t="str">
        <f t="shared" si="18"/>
        <v/>
      </c>
    </row>
    <row r="485" spans="16:17" x14ac:dyDescent="0.25">
      <c r="P485" s="128" t="str">
        <f t="shared" si="19"/>
        <v/>
      </c>
      <c r="Q485" s="129" t="str">
        <f t="shared" si="18"/>
        <v/>
      </c>
    </row>
    <row r="486" spans="16:17" x14ac:dyDescent="0.25">
      <c r="P486" s="128" t="str">
        <f t="shared" si="19"/>
        <v/>
      </c>
      <c r="Q486" s="129" t="str">
        <f t="shared" si="18"/>
        <v/>
      </c>
    </row>
    <row r="487" spans="16:17" x14ac:dyDescent="0.25">
      <c r="P487" s="128" t="str">
        <f t="shared" si="19"/>
        <v/>
      </c>
      <c r="Q487" s="129" t="str">
        <f t="shared" si="18"/>
        <v/>
      </c>
    </row>
    <row r="488" spans="16:17" x14ac:dyDescent="0.25">
      <c r="P488" s="128" t="str">
        <f t="shared" si="19"/>
        <v/>
      </c>
      <c r="Q488" s="129" t="str">
        <f t="shared" si="18"/>
        <v/>
      </c>
    </row>
    <row r="489" spans="16:17" x14ac:dyDescent="0.25">
      <c r="P489" s="128" t="str">
        <f t="shared" si="19"/>
        <v/>
      </c>
      <c r="Q489" s="129" t="str">
        <f t="shared" si="18"/>
        <v/>
      </c>
    </row>
    <row r="490" spans="16:17" x14ac:dyDescent="0.25">
      <c r="P490" s="128" t="str">
        <f t="shared" si="19"/>
        <v/>
      </c>
      <c r="Q490" s="129" t="str">
        <f t="shared" si="18"/>
        <v/>
      </c>
    </row>
    <row r="491" spans="16:17" x14ac:dyDescent="0.25">
      <c r="P491" s="128" t="str">
        <f t="shared" si="19"/>
        <v/>
      </c>
      <c r="Q491" s="129" t="str">
        <f t="shared" si="18"/>
        <v/>
      </c>
    </row>
    <row r="492" spans="16:17" x14ac:dyDescent="0.25">
      <c r="P492" s="128" t="str">
        <f t="shared" si="19"/>
        <v/>
      </c>
      <c r="Q492" s="129" t="str">
        <f t="shared" si="18"/>
        <v/>
      </c>
    </row>
    <row r="493" spans="16:17" x14ac:dyDescent="0.25">
      <c r="P493" s="128" t="str">
        <f t="shared" si="19"/>
        <v/>
      </c>
      <c r="Q493" s="129" t="str">
        <f t="shared" si="18"/>
        <v/>
      </c>
    </row>
    <row r="494" spans="16:17" x14ac:dyDescent="0.25">
      <c r="P494" s="128" t="str">
        <f t="shared" si="19"/>
        <v/>
      </c>
      <c r="Q494" s="129" t="str">
        <f t="shared" si="18"/>
        <v/>
      </c>
    </row>
    <row r="495" spans="16:17" x14ac:dyDescent="0.25">
      <c r="P495" s="128" t="str">
        <f t="shared" si="19"/>
        <v/>
      </c>
      <c r="Q495" s="129" t="str">
        <f t="shared" si="18"/>
        <v/>
      </c>
    </row>
    <row r="496" spans="16:17" x14ac:dyDescent="0.25">
      <c r="P496" s="128" t="str">
        <f t="shared" si="19"/>
        <v/>
      </c>
      <c r="Q496" s="129" t="str">
        <f t="shared" si="18"/>
        <v/>
      </c>
    </row>
    <row r="497" spans="16:17" x14ac:dyDescent="0.25">
      <c r="P497" s="128" t="str">
        <f t="shared" si="19"/>
        <v/>
      </c>
      <c r="Q497" s="129" t="str">
        <f t="shared" si="18"/>
        <v/>
      </c>
    </row>
    <row r="498" spans="16:17" x14ac:dyDescent="0.25">
      <c r="P498" s="128" t="str">
        <f t="shared" si="19"/>
        <v/>
      </c>
      <c r="Q498" s="129" t="str">
        <f t="shared" si="18"/>
        <v/>
      </c>
    </row>
    <row r="499" spans="16:17" x14ac:dyDescent="0.25">
      <c r="P499" s="128" t="str">
        <f t="shared" si="19"/>
        <v/>
      </c>
      <c r="Q499" s="129" t="str">
        <f t="shared" si="18"/>
        <v/>
      </c>
    </row>
    <row r="500" spans="16:17" x14ac:dyDescent="0.25">
      <c r="P500" s="128" t="str">
        <f t="shared" si="19"/>
        <v/>
      </c>
      <c r="Q500" s="129" t="str">
        <f t="shared" si="18"/>
        <v/>
      </c>
    </row>
    <row r="501" spans="16:17" x14ac:dyDescent="0.25">
      <c r="P501" s="128" t="str">
        <f t="shared" si="19"/>
        <v/>
      </c>
      <c r="Q501" s="129" t="str">
        <f t="shared" si="18"/>
        <v/>
      </c>
    </row>
    <row r="502" spans="16:17" x14ac:dyDescent="0.25">
      <c r="P502" s="128" t="str">
        <f t="shared" si="19"/>
        <v/>
      </c>
      <c r="Q502" s="129" t="str">
        <f t="shared" si="18"/>
        <v/>
      </c>
    </row>
    <row r="503" spans="16:17" x14ac:dyDescent="0.25">
      <c r="P503" s="128" t="str">
        <f t="shared" si="19"/>
        <v/>
      </c>
      <c r="Q503" s="129" t="str">
        <f t="shared" si="18"/>
        <v/>
      </c>
    </row>
    <row r="504" spans="16:17" x14ac:dyDescent="0.25">
      <c r="P504" s="128" t="str">
        <f t="shared" si="19"/>
        <v/>
      </c>
      <c r="Q504" s="129" t="str">
        <f t="shared" si="18"/>
        <v/>
      </c>
    </row>
    <row r="505" spans="16:17" x14ac:dyDescent="0.25">
      <c r="P505" s="128" t="str">
        <f t="shared" si="19"/>
        <v/>
      </c>
      <c r="Q505" s="129" t="str">
        <f t="shared" si="18"/>
        <v/>
      </c>
    </row>
    <row r="506" spans="16:17" x14ac:dyDescent="0.25">
      <c r="P506" s="128" t="str">
        <f t="shared" si="19"/>
        <v/>
      </c>
      <c r="Q506" s="129" t="str">
        <f t="shared" si="18"/>
        <v/>
      </c>
    </row>
    <row r="507" spans="16:17" x14ac:dyDescent="0.25">
      <c r="P507" s="128" t="str">
        <f t="shared" si="19"/>
        <v/>
      </c>
      <c r="Q507" s="129" t="str">
        <f t="shared" si="18"/>
        <v/>
      </c>
    </row>
    <row r="508" spans="16:17" x14ac:dyDescent="0.25">
      <c r="P508" s="128" t="str">
        <f t="shared" si="19"/>
        <v/>
      </c>
      <c r="Q508" s="129" t="str">
        <f t="shared" si="18"/>
        <v/>
      </c>
    </row>
    <row r="509" spans="16:17" x14ac:dyDescent="0.25">
      <c r="P509" s="128" t="str">
        <f t="shared" si="19"/>
        <v/>
      </c>
      <c r="Q509" s="129" t="str">
        <f t="shared" si="18"/>
        <v/>
      </c>
    </row>
    <row r="510" spans="16:17" x14ac:dyDescent="0.25">
      <c r="P510" s="128" t="str">
        <f t="shared" si="19"/>
        <v/>
      </c>
      <c r="Q510" s="129" t="str">
        <f t="shared" si="18"/>
        <v/>
      </c>
    </row>
    <row r="511" spans="16:17" x14ac:dyDescent="0.25">
      <c r="P511" s="128" t="str">
        <f t="shared" si="19"/>
        <v/>
      </c>
      <c r="Q511" s="129" t="str">
        <f t="shared" si="18"/>
        <v/>
      </c>
    </row>
    <row r="512" spans="16:17" x14ac:dyDescent="0.25">
      <c r="P512" s="128" t="str">
        <f t="shared" si="19"/>
        <v/>
      </c>
      <c r="Q512" s="129" t="str">
        <f t="shared" si="18"/>
        <v/>
      </c>
    </row>
    <row r="513" spans="16:17" x14ac:dyDescent="0.25">
      <c r="P513" s="128" t="str">
        <f t="shared" si="19"/>
        <v/>
      </c>
      <c r="Q513" s="129" t="str">
        <f t="shared" si="18"/>
        <v/>
      </c>
    </row>
    <row r="514" spans="16:17" x14ac:dyDescent="0.25">
      <c r="P514" s="128" t="str">
        <f t="shared" si="19"/>
        <v/>
      </c>
      <c r="Q514" s="129" t="str">
        <f t="shared" si="18"/>
        <v/>
      </c>
    </row>
    <row r="515" spans="16:17" x14ac:dyDescent="0.25">
      <c r="P515" s="128" t="str">
        <f t="shared" si="19"/>
        <v/>
      </c>
      <c r="Q515" s="129" t="str">
        <f t="shared" si="18"/>
        <v/>
      </c>
    </row>
    <row r="516" spans="16:17" x14ac:dyDescent="0.25">
      <c r="P516" s="128" t="str">
        <f t="shared" si="19"/>
        <v/>
      </c>
      <c r="Q516" s="129" t="str">
        <f t="shared" si="18"/>
        <v/>
      </c>
    </row>
    <row r="517" spans="16:17" x14ac:dyDescent="0.25">
      <c r="P517" s="128" t="str">
        <f t="shared" si="19"/>
        <v/>
      </c>
      <c r="Q517" s="129" t="str">
        <f t="shared" si="18"/>
        <v/>
      </c>
    </row>
    <row r="518" spans="16:17" x14ac:dyDescent="0.25">
      <c r="P518" s="128" t="str">
        <f t="shared" si="19"/>
        <v/>
      </c>
      <c r="Q518" s="129" t="str">
        <f t="shared" ref="Q518:Q581" si="20">IF(COUNTA(B146:O146)=0,"",SUM(B146:O146)/$P$4)</f>
        <v/>
      </c>
    </row>
    <row r="519" spans="16:17" x14ac:dyDescent="0.25">
      <c r="P519" s="128" t="str">
        <f t="shared" ref="P519:P582" si="21">IF(COUNTA(B147:O147)=0,"",SUM(B147:O147))</f>
        <v/>
      </c>
      <c r="Q519" s="129" t="str">
        <f t="shared" si="20"/>
        <v/>
      </c>
    </row>
    <row r="520" spans="16:17" x14ac:dyDescent="0.25">
      <c r="P520" s="128" t="str">
        <f t="shared" si="21"/>
        <v/>
      </c>
      <c r="Q520" s="129" t="str">
        <f t="shared" si="20"/>
        <v/>
      </c>
    </row>
    <row r="521" spans="16:17" x14ac:dyDescent="0.25">
      <c r="P521" s="128" t="str">
        <f t="shared" si="21"/>
        <v/>
      </c>
      <c r="Q521" s="129" t="str">
        <f t="shared" si="20"/>
        <v/>
      </c>
    </row>
    <row r="522" spans="16:17" x14ac:dyDescent="0.25">
      <c r="P522" s="128" t="str">
        <f t="shared" si="21"/>
        <v/>
      </c>
      <c r="Q522" s="129" t="str">
        <f t="shared" si="20"/>
        <v/>
      </c>
    </row>
    <row r="523" spans="16:17" x14ac:dyDescent="0.25">
      <c r="P523" s="128" t="str">
        <f t="shared" si="21"/>
        <v/>
      </c>
      <c r="Q523" s="129" t="str">
        <f t="shared" si="20"/>
        <v/>
      </c>
    </row>
    <row r="524" spans="16:17" x14ac:dyDescent="0.25">
      <c r="P524" s="128" t="str">
        <f t="shared" si="21"/>
        <v/>
      </c>
      <c r="Q524" s="129" t="str">
        <f t="shared" si="20"/>
        <v/>
      </c>
    </row>
    <row r="525" spans="16:17" x14ac:dyDescent="0.25">
      <c r="P525" s="128" t="str">
        <f t="shared" si="21"/>
        <v/>
      </c>
      <c r="Q525" s="129" t="str">
        <f t="shared" si="20"/>
        <v/>
      </c>
    </row>
    <row r="526" spans="16:17" x14ac:dyDescent="0.25">
      <c r="P526" s="128" t="str">
        <f t="shared" si="21"/>
        <v/>
      </c>
      <c r="Q526" s="129" t="str">
        <f t="shared" si="20"/>
        <v/>
      </c>
    </row>
    <row r="527" spans="16:17" x14ac:dyDescent="0.25">
      <c r="P527" s="128" t="str">
        <f t="shared" si="21"/>
        <v/>
      </c>
      <c r="Q527" s="129" t="str">
        <f t="shared" si="20"/>
        <v/>
      </c>
    </row>
    <row r="528" spans="16:17" x14ac:dyDescent="0.25">
      <c r="P528" s="128" t="str">
        <f t="shared" si="21"/>
        <v/>
      </c>
      <c r="Q528" s="129" t="str">
        <f t="shared" si="20"/>
        <v/>
      </c>
    </row>
    <row r="529" spans="16:17" x14ac:dyDescent="0.25">
      <c r="P529" s="128" t="str">
        <f t="shared" si="21"/>
        <v/>
      </c>
      <c r="Q529" s="129" t="str">
        <f t="shared" si="20"/>
        <v/>
      </c>
    </row>
    <row r="530" spans="16:17" x14ac:dyDescent="0.25">
      <c r="P530" s="128" t="str">
        <f t="shared" si="21"/>
        <v/>
      </c>
      <c r="Q530" s="129" t="str">
        <f t="shared" si="20"/>
        <v/>
      </c>
    </row>
    <row r="531" spans="16:17" x14ac:dyDescent="0.25">
      <c r="P531" s="128" t="str">
        <f t="shared" si="21"/>
        <v/>
      </c>
      <c r="Q531" s="129" t="str">
        <f t="shared" si="20"/>
        <v/>
      </c>
    </row>
    <row r="532" spans="16:17" x14ac:dyDescent="0.25">
      <c r="P532" s="128" t="str">
        <f t="shared" si="21"/>
        <v/>
      </c>
      <c r="Q532" s="129" t="str">
        <f t="shared" si="20"/>
        <v/>
      </c>
    </row>
    <row r="533" spans="16:17" x14ac:dyDescent="0.25">
      <c r="P533" s="128" t="str">
        <f t="shared" si="21"/>
        <v/>
      </c>
      <c r="Q533" s="129" t="str">
        <f t="shared" si="20"/>
        <v/>
      </c>
    </row>
    <row r="534" spans="16:17" x14ac:dyDescent="0.25">
      <c r="P534" s="128" t="str">
        <f t="shared" si="21"/>
        <v/>
      </c>
      <c r="Q534" s="129" t="str">
        <f t="shared" si="20"/>
        <v/>
      </c>
    </row>
    <row r="535" spans="16:17" x14ac:dyDescent="0.25">
      <c r="P535" s="128" t="str">
        <f t="shared" si="21"/>
        <v/>
      </c>
      <c r="Q535" s="129" t="str">
        <f t="shared" si="20"/>
        <v/>
      </c>
    </row>
    <row r="536" spans="16:17" x14ac:dyDescent="0.25">
      <c r="P536" s="128" t="str">
        <f t="shared" si="21"/>
        <v/>
      </c>
      <c r="Q536" s="129" t="str">
        <f t="shared" si="20"/>
        <v/>
      </c>
    </row>
    <row r="537" spans="16:17" x14ac:dyDescent="0.25">
      <c r="P537" s="128" t="str">
        <f t="shared" si="21"/>
        <v/>
      </c>
      <c r="Q537" s="129" t="str">
        <f t="shared" si="20"/>
        <v/>
      </c>
    </row>
    <row r="538" spans="16:17" x14ac:dyDescent="0.25">
      <c r="P538" s="128" t="str">
        <f t="shared" si="21"/>
        <v/>
      </c>
      <c r="Q538" s="129" t="str">
        <f t="shared" si="20"/>
        <v/>
      </c>
    </row>
    <row r="539" spans="16:17" x14ac:dyDescent="0.25">
      <c r="P539" s="128" t="str">
        <f t="shared" si="21"/>
        <v/>
      </c>
      <c r="Q539" s="129" t="str">
        <f t="shared" si="20"/>
        <v/>
      </c>
    </row>
    <row r="540" spans="16:17" x14ac:dyDescent="0.25">
      <c r="P540" s="128" t="str">
        <f t="shared" si="21"/>
        <v/>
      </c>
      <c r="Q540" s="129" t="str">
        <f t="shared" si="20"/>
        <v/>
      </c>
    </row>
    <row r="541" spans="16:17" x14ac:dyDescent="0.25">
      <c r="P541" s="128" t="str">
        <f t="shared" si="21"/>
        <v/>
      </c>
      <c r="Q541" s="129" t="str">
        <f t="shared" si="20"/>
        <v/>
      </c>
    </row>
    <row r="542" spans="16:17" x14ac:dyDescent="0.25">
      <c r="P542" s="128" t="str">
        <f t="shared" si="21"/>
        <v/>
      </c>
      <c r="Q542" s="129" t="str">
        <f t="shared" si="20"/>
        <v/>
      </c>
    </row>
    <row r="543" spans="16:17" x14ac:dyDescent="0.25">
      <c r="P543" s="128" t="str">
        <f t="shared" si="21"/>
        <v/>
      </c>
      <c r="Q543" s="129" t="str">
        <f t="shared" si="20"/>
        <v/>
      </c>
    </row>
    <row r="544" spans="16:17" x14ac:dyDescent="0.25">
      <c r="P544" s="128" t="str">
        <f t="shared" si="21"/>
        <v/>
      </c>
      <c r="Q544" s="129" t="str">
        <f t="shared" si="20"/>
        <v/>
      </c>
    </row>
    <row r="545" spans="16:17" x14ac:dyDescent="0.25">
      <c r="P545" s="128" t="str">
        <f t="shared" si="21"/>
        <v/>
      </c>
      <c r="Q545" s="129" t="str">
        <f t="shared" si="20"/>
        <v/>
      </c>
    </row>
    <row r="546" spans="16:17" x14ac:dyDescent="0.25">
      <c r="P546" s="128" t="str">
        <f t="shared" si="21"/>
        <v/>
      </c>
      <c r="Q546" s="129" t="str">
        <f t="shared" si="20"/>
        <v/>
      </c>
    </row>
    <row r="547" spans="16:17" x14ac:dyDescent="0.25">
      <c r="P547" s="128" t="str">
        <f t="shared" si="21"/>
        <v/>
      </c>
      <c r="Q547" s="129" t="str">
        <f t="shared" si="20"/>
        <v/>
      </c>
    </row>
    <row r="548" spans="16:17" x14ac:dyDescent="0.25">
      <c r="P548" s="128" t="str">
        <f t="shared" si="21"/>
        <v/>
      </c>
      <c r="Q548" s="129" t="str">
        <f t="shared" si="20"/>
        <v/>
      </c>
    </row>
    <row r="549" spans="16:17" x14ac:dyDescent="0.25">
      <c r="P549" s="128" t="str">
        <f t="shared" si="21"/>
        <v/>
      </c>
      <c r="Q549" s="129" t="str">
        <f t="shared" si="20"/>
        <v/>
      </c>
    </row>
    <row r="550" spans="16:17" x14ac:dyDescent="0.25">
      <c r="P550" s="128" t="str">
        <f t="shared" si="21"/>
        <v/>
      </c>
      <c r="Q550" s="129" t="str">
        <f t="shared" si="20"/>
        <v/>
      </c>
    </row>
    <row r="551" spans="16:17" x14ac:dyDescent="0.25">
      <c r="P551" s="128" t="str">
        <f t="shared" si="21"/>
        <v/>
      </c>
      <c r="Q551" s="129" t="str">
        <f t="shared" si="20"/>
        <v/>
      </c>
    </row>
    <row r="552" spans="16:17" x14ac:dyDescent="0.25">
      <c r="P552" s="128" t="str">
        <f t="shared" si="21"/>
        <v/>
      </c>
      <c r="Q552" s="129" t="str">
        <f t="shared" si="20"/>
        <v/>
      </c>
    </row>
    <row r="553" spans="16:17" x14ac:dyDescent="0.25">
      <c r="P553" s="128" t="str">
        <f t="shared" si="21"/>
        <v/>
      </c>
      <c r="Q553" s="129" t="str">
        <f t="shared" si="20"/>
        <v/>
      </c>
    </row>
    <row r="554" spans="16:17" x14ac:dyDescent="0.25">
      <c r="P554" s="128" t="str">
        <f t="shared" si="21"/>
        <v/>
      </c>
      <c r="Q554" s="129" t="str">
        <f t="shared" si="20"/>
        <v/>
      </c>
    </row>
    <row r="555" spans="16:17" x14ac:dyDescent="0.25">
      <c r="P555" s="128" t="str">
        <f t="shared" si="21"/>
        <v/>
      </c>
      <c r="Q555" s="129" t="str">
        <f t="shared" si="20"/>
        <v/>
      </c>
    </row>
    <row r="556" spans="16:17" x14ac:dyDescent="0.25">
      <c r="P556" s="128" t="str">
        <f t="shared" si="21"/>
        <v/>
      </c>
      <c r="Q556" s="129" t="str">
        <f t="shared" si="20"/>
        <v/>
      </c>
    </row>
    <row r="557" spans="16:17" x14ac:dyDescent="0.25">
      <c r="P557" s="128" t="str">
        <f t="shared" si="21"/>
        <v/>
      </c>
      <c r="Q557" s="129" t="str">
        <f t="shared" si="20"/>
        <v/>
      </c>
    </row>
    <row r="558" spans="16:17" x14ac:dyDescent="0.25">
      <c r="P558" s="128" t="str">
        <f t="shared" si="21"/>
        <v/>
      </c>
      <c r="Q558" s="129" t="str">
        <f t="shared" si="20"/>
        <v/>
      </c>
    </row>
    <row r="559" spans="16:17" x14ac:dyDescent="0.25">
      <c r="P559" s="128" t="str">
        <f t="shared" si="21"/>
        <v/>
      </c>
      <c r="Q559" s="129" t="str">
        <f t="shared" si="20"/>
        <v/>
      </c>
    </row>
    <row r="560" spans="16:17" x14ac:dyDescent="0.25">
      <c r="P560" s="128" t="str">
        <f t="shared" si="21"/>
        <v/>
      </c>
      <c r="Q560" s="129" t="str">
        <f t="shared" si="20"/>
        <v/>
      </c>
    </row>
    <row r="561" spans="16:17" x14ac:dyDescent="0.25">
      <c r="P561" s="128" t="str">
        <f t="shared" si="21"/>
        <v/>
      </c>
      <c r="Q561" s="129" t="str">
        <f t="shared" si="20"/>
        <v/>
      </c>
    </row>
    <row r="562" spans="16:17" x14ac:dyDescent="0.25">
      <c r="P562" s="128" t="str">
        <f t="shared" si="21"/>
        <v/>
      </c>
      <c r="Q562" s="129" t="str">
        <f t="shared" si="20"/>
        <v/>
      </c>
    </row>
    <row r="563" spans="16:17" x14ac:dyDescent="0.25">
      <c r="P563" s="128" t="str">
        <f t="shared" si="21"/>
        <v/>
      </c>
      <c r="Q563" s="129" t="str">
        <f t="shared" si="20"/>
        <v/>
      </c>
    </row>
    <row r="564" spans="16:17" x14ac:dyDescent="0.25">
      <c r="P564" s="128" t="str">
        <f t="shared" si="21"/>
        <v/>
      </c>
      <c r="Q564" s="129" t="str">
        <f t="shared" si="20"/>
        <v/>
      </c>
    </row>
    <row r="565" spans="16:17" x14ac:dyDescent="0.25">
      <c r="P565" s="128" t="str">
        <f t="shared" si="21"/>
        <v/>
      </c>
      <c r="Q565" s="129" t="str">
        <f t="shared" si="20"/>
        <v/>
      </c>
    </row>
    <row r="566" spans="16:17" x14ac:dyDescent="0.25">
      <c r="P566" s="128" t="str">
        <f t="shared" si="21"/>
        <v/>
      </c>
      <c r="Q566" s="129" t="str">
        <f t="shared" si="20"/>
        <v/>
      </c>
    </row>
    <row r="567" spans="16:17" x14ac:dyDescent="0.25">
      <c r="P567" s="128" t="str">
        <f t="shared" si="21"/>
        <v/>
      </c>
      <c r="Q567" s="129" t="str">
        <f t="shared" si="20"/>
        <v/>
      </c>
    </row>
    <row r="568" spans="16:17" x14ac:dyDescent="0.25">
      <c r="P568" s="128" t="str">
        <f t="shared" si="21"/>
        <v/>
      </c>
      <c r="Q568" s="129" t="str">
        <f t="shared" si="20"/>
        <v/>
      </c>
    </row>
    <row r="569" spans="16:17" x14ac:dyDescent="0.25">
      <c r="P569" s="128" t="str">
        <f t="shared" si="21"/>
        <v/>
      </c>
      <c r="Q569" s="129" t="str">
        <f t="shared" si="20"/>
        <v/>
      </c>
    </row>
    <row r="570" spans="16:17" x14ac:dyDescent="0.25">
      <c r="P570" s="128" t="str">
        <f t="shared" si="21"/>
        <v/>
      </c>
      <c r="Q570" s="129" t="str">
        <f t="shared" si="20"/>
        <v/>
      </c>
    </row>
    <row r="571" spans="16:17" x14ac:dyDescent="0.25">
      <c r="P571" s="128" t="str">
        <f t="shared" si="21"/>
        <v/>
      </c>
      <c r="Q571" s="129" t="str">
        <f t="shared" si="20"/>
        <v/>
      </c>
    </row>
    <row r="572" spans="16:17" x14ac:dyDescent="0.25">
      <c r="P572" s="128" t="str">
        <f t="shared" si="21"/>
        <v/>
      </c>
      <c r="Q572" s="129" t="str">
        <f t="shared" si="20"/>
        <v/>
      </c>
    </row>
    <row r="573" spans="16:17" x14ac:dyDescent="0.25">
      <c r="P573" s="128" t="str">
        <f t="shared" si="21"/>
        <v/>
      </c>
      <c r="Q573" s="129" t="str">
        <f t="shared" si="20"/>
        <v/>
      </c>
    </row>
    <row r="574" spans="16:17" x14ac:dyDescent="0.25">
      <c r="P574" s="128" t="str">
        <f t="shared" si="21"/>
        <v/>
      </c>
      <c r="Q574" s="129" t="str">
        <f t="shared" si="20"/>
        <v/>
      </c>
    </row>
    <row r="575" spans="16:17" x14ac:dyDescent="0.25">
      <c r="P575" s="128" t="str">
        <f t="shared" si="21"/>
        <v/>
      </c>
      <c r="Q575" s="129" t="str">
        <f t="shared" si="20"/>
        <v/>
      </c>
    </row>
    <row r="576" spans="16:17" x14ac:dyDescent="0.25">
      <c r="P576" s="128" t="str">
        <f t="shared" si="21"/>
        <v/>
      </c>
      <c r="Q576" s="129" t="str">
        <f t="shared" si="20"/>
        <v/>
      </c>
    </row>
    <row r="577" spans="16:17" x14ac:dyDescent="0.25">
      <c r="P577" s="128" t="str">
        <f t="shared" si="21"/>
        <v/>
      </c>
      <c r="Q577" s="129" t="str">
        <f t="shared" si="20"/>
        <v/>
      </c>
    </row>
    <row r="578" spans="16:17" x14ac:dyDescent="0.25">
      <c r="P578" s="128" t="str">
        <f t="shared" si="21"/>
        <v/>
      </c>
      <c r="Q578" s="129" t="str">
        <f t="shared" si="20"/>
        <v/>
      </c>
    </row>
    <row r="579" spans="16:17" x14ac:dyDescent="0.25">
      <c r="P579" s="128" t="str">
        <f t="shared" si="21"/>
        <v/>
      </c>
      <c r="Q579" s="129" t="str">
        <f t="shared" si="20"/>
        <v/>
      </c>
    </row>
    <row r="580" spans="16:17" x14ac:dyDescent="0.25">
      <c r="P580" s="128" t="str">
        <f t="shared" si="21"/>
        <v/>
      </c>
      <c r="Q580" s="129" t="str">
        <f t="shared" si="20"/>
        <v/>
      </c>
    </row>
    <row r="581" spans="16:17" x14ac:dyDescent="0.25">
      <c r="P581" s="128" t="str">
        <f t="shared" si="21"/>
        <v/>
      </c>
      <c r="Q581" s="129" t="str">
        <f t="shared" si="20"/>
        <v/>
      </c>
    </row>
    <row r="582" spans="16:17" x14ac:dyDescent="0.25">
      <c r="P582" s="128" t="str">
        <f t="shared" si="21"/>
        <v/>
      </c>
      <c r="Q582" s="129" t="str">
        <f t="shared" ref="Q582:Q645" si="22">IF(COUNTA(B210:O210)=0,"",SUM(B210:O210)/$P$4)</f>
        <v/>
      </c>
    </row>
    <row r="583" spans="16:17" x14ac:dyDescent="0.25">
      <c r="P583" s="128" t="str">
        <f t="shared" ref="P583:P646" si="23">IF(COUNTA(B211:O211)=0,"",SUM(B211:O211))</f>
        <v/>
      </c>
      <c r="Q583" s="129" t="str">
        <f t="shared" si="22"/>
        <v/>
      </c>
    </row>
    <row r="584" spans="16:17" x14ac:dyDescent="0.25">
      <c r="P584" s="128" t="str">
        <f t="shared" si="23"/>
        <v/>
      </c>
      <c r="Q584" s="129" t="str">
        <f t="shared" si="22"/>
        <v/>
      </c>
    </row>
    <row r="585" spans="16:17" x14ac:dyDescent="0.25">
      <c r="P585" s="128" t="str">
        <f t="shared" si="23"/>
        <v/>
      </c>
      <c r="Q585" s="129" t="str">
        <f t="shared" si="22"/>
        <v/>
      </c>
    </row>
    <row r="586" spans="16:17" x14ac:dyDescent="0.25">
      <c r="P586" s="128" t="str">
        <f t="shared" si="23"/>
        <v/>
      </c>
      <c r="Q586" s="129" t="str">
        <f t="shared" si="22"/>
        <v/>
      </c>
    </row>
    <row r="587" spans="16:17" x14ac:dyDescent="0.25">
      <c r="P587" s="128" t="str">
        <f t="shared" si="23"/>
        <v/>
      </c>
      <c r="Q587" s="129" t="str">
        <f t="shared" si="22"/>
        <v/>
      </c>
    </row>
    <row r="588" spans="16:17" x14ac:dyDescent="0.25">
      <c r="P588" s="128" t="str">
        <f t="shared" si="23"/>
        <v/>
      </c>
      <c r="Q588" s="129" t="str">
        <f t="shared" si="22"/>
        <v/>
      </c>
    </row>
    <row r="589" spans="16:17" x14ac:dyDescent="0.25">
      <c r="P589" s="128" t="str">
        <f t="shared" si="23"/>
        <v/>
      </c>
      <c r="Q589" s="129" t="str">
        <f t="shared" si="22"/>
        <v/>
      </c>
    </row>
    <row r="590" spans="16:17" x14ac:dyDescent="0.25">
      <c r="P590" s="128" t="str">
        <f t="shared" si="23"/>
        <v/>
      </c>
      <c r="Q590" s="129" t="str">
        <f t="shared" si="22"/>
        <v/>
      </c>
    </row>
    <row r="591" spans="16:17" x14ac:dyDescent="0.25">
      <c r="P591" s="128" t="str">
        <f t="shared" si="23"/>
        <v/>
      </c>
      <c r="Q591" s="129" t="str">
        <f t="shared" si="22"/>
        <v/>
      </c>
    </row>
    <row r="592" spans="16:17" x14ac:dyDescent="0.25">
      <c r="P592" s="128" t="str">
        <f t="shared" si="23"/>
        <v/>
      </c>
      <c r="Q592" s="129" t="str">
        <f t="shared" si="22"/>
        <v/>
      </c>
    </row>
    <row r="593" spans="16:17" x14ac:dyDescent="0.25">
      <c r="P593" s="128" t="str">
        <f t="shared" si="23"/>
        <v/>
      </c>
      <c r="Q593" s="129" t="str">
        <f t="shared" si="22"/>
        <v/>
      </c>
    </row>
    <row r="594" spans="16:17" x14ac:dyDescent="0.25">
      <c r="P594" s="128" t="str">
        <f t="shared" si="23"/>
        <v/>
      </c>
      <c r="Q594" s="129" t="str">
        <f t="shared" si="22"/>
        <v/>
      </c>
    </row>
    <row r="595" spans="16:17" x14ac:dyDescent="0.25">
      <c r="P595" s="128" t="str">
        <f t="shared" si="23"/>
        <v/>
      </c>
      <c r="Q595" s="129" t="str">
        <f t="shared" si="22"/>
        <v/>
      </c>
    </row>
    <row r="596" spans="16:17" x14ac:dyDescent="0.25">
      <c r="P596" s="128" t="str">
        <f t="shared" si="23"/>
        <v/>
      </c>
      <c r="Q596" s="129" t="str">
        <f t="shared" si="22"/>
        <v/>
      </c>
    </row>
    <row r="597" spans="16:17" x14ac:dyDescent="0.25">
      <c r="P597" s="128" t="str">
        <f t="shared" si="23"/>
        <v/>
      </c>
      <c r="Q597" s="129" t="str">
        <f t="shared" si="22"/>
        <v/>
      </c>
    </row>
    <row r="598" spans="16:17" x14ac:dyDescent="0.25">
      <c r="P598" s="128" t="str">
        <f t="shared" si="23"/>
        <v/>
      </c>
      <c r="Q598" s="129" t="str">
        <f t="shared" si="22"/>
        <v/>
      </c>
    </row>
    <row r="599" spans="16:17" x14ac:dyDescent="0.25">
      <c r="P599" s="128" t="str">
        <f t="shared" si="23"/>
        <v/>
      </c>
      <c r="Q599" s="129" t="str">
        <f t="shared" si="22"/>
        <v/>
      </c>
    </row>
    <row r="600" spans="16:17" x14ac:dyDescent="0.25">
      <c r="P600" s="128" t="str">
        <f t="shared" si="23"/>
        <v/>
      </c>
      <c r="Q600" s="129" t="str">
        <f t="shared" si="22"/>
        <v/>
      </c>
    </row>
    <row r="601" spans="16:17" x14ac:dyDescent="0.25">
      <c r="P601" s="128" t="str">
        <f t="shared" si="23"/>
        <v/>
      </c>
      <c r="Q601" s="129" t="str">
        <f t="shared" si="22"/>
        <v/>
      </c>
    </row>
    <row r="602" spans="16:17" x14ac:dyDescent="0.25">
      <c r="P602" s="128" t="str">
        <f t="shared" si="23"/>
        <v/>
      </c>
      <c r="Q602" s="129" t="str">
        <f t="shared" si="22"/>
        <v/>
      </c>
    </row>
    <row r="603" spans="16:17" x14ac:dyDescent="0.25">
      <c r="P603" s="128" t="str">
        <f t="shared" si="23"/>
        <v/>
      </c>
      <c r="Q603" s="129" t="str">
        <f t="shared" si="22"/>
        <v/>
      </c>
    </row>
    <row r="604" spans="16:17" x14ac:dyDescent="0.25">
      <c r="P604" s="128" t="str">
        <f t="shared" si="23"/>
        <v/>
      </c>
      <c r="Q604" s="129" t="str">
        <f t="shared" si="22"/>
        <v/>
      </c>
    </row>
    <row r="605" spans="16:17" x14ac:dyDescent="0.25">
      <c r="P605" s="128" t="str">
        <f t="shared" si="23"/>
        <v/>
      </c>
      <c r="Q605" s="129" t="str">
        <f t="shared" si="22"/>
        <v/>
      </c>
    </row>
    <row r="606" spans="16:17" x14ac:dyDescent="0.25">
      <c r="P606" s="128" t="str">
        <f t="shared" si="23"/>
        <v/>
      </c>
      <c r="Q606" s="129" t="str">
        <f t="shared" si="22"/>
        <v/>
      </c>
    </row>
    <row r="607" spans="16:17" x14ac:dyDescent="0.25">
      <c r="P607" s="128" t="str">
        <f t="shared" si="23"/>
        <v/>
      </c>
      <c r="Q607" s="129" t="str">
        <f t="shared" si="22"/>
        <v/>
      </c>
    </row>
    <row r="608" spans="16:17" x14ac:dyDescent="0.25">
      <c r="P608" s="128" t="str">
        <f t="shared" si="23"/>
        <v/>
      </c>
      <c r="Q608" s="129" t="str">
        <f t="shared" si="22"/>
        <v/>
      </c>
    </row>
    <row r="609" spans="16:17" x14ac:dyDescent="0.25">
      <c r="P609" s="128" t="str">
        <f t="shared" si="23"/>
        <v/>
      </c>
      <c r="Q609" s="129" t="str">
        <f t="shared" si="22"/>
        <v/>
      </c>
    </row>
    <row r="610" spans="16:17" x14ac:dyDescent="0.25">
      <c r="P610" s="128" t="str">
        <f t="shared" si="23"/>
        <v/>
      </c>
      <c r="Q610" s="129" t="str">
        <f t="shared" si="22"/>
        <v/>
      </c>
    </row>
    <row r="611" spans="16:17" x14ac:dyDescent="0.25">
      <c r="P611" s="128" t="str">
        <f t="shared" si="23"/>
        <v/>
      </c>
      <c r="Q611" s="129" t="str">
        <f t="shared" si="22"/>
        <v/>
      </c>
    </row>
    <row r="612" spans="16:17" x14ac:dyDescent="0.25">
      <c r="P612" s="128" t="str">
        <f t="shared" si="23"/>
        <v/>
      </c>
      <c r="Q612" s="129" t="str">
        <f t="shared" si="22"/>
        <v/>
      </c>
    </row>
    <row r="613" spans="16:17" x14ac:dyDescent="0.25">
      <c r="P613" s="128" t="str">
        <f t="shared" si="23"/>
        <v/>
      </c>
      <c r="Q613" s="129" t="str">
        <f t="shared" si="22"/>
        <v/>
      </c>
    </row>
    <row r="614" spans="16:17" x14ac:dyDescent="0.25">
      <c r="P614" s="128" t="str">
        <f t="shared" si="23"/>
        <v/>
      </c>
      <c r="Q614" s="129" t="str">
        <f t="shared" si="22"/>
        <v/>
      </c>
    </row>
    <row r="615" spans="16:17" x14ac:dyDescent="0.25">
      <c r="P615" s="128" t="str">
        <f t="shared" si="23"/>
        <v/>
      </c>
      <c r="Q615" s="129" t="str">
        <f t="shared" si="22"/>
        <v/>
      </c>
    </row>
    <row r="616" spans="16:17" x14ac:dyDescent="0.25">
      <c r="P616" s="128" t="str">
        <f t="shared" si="23"/>
        <v/>
      </c>
      <c r="Q616" s="129" t="str">
        <f t="shared" si="22"/>
        <v/>
      </c>
    </row>
    <row r="617" spans="16:17" x14ac:dyDescent="0.25">
      <c r="P617" s="128" t="str">
        <f t="shared" si="23"/>
        <v/>
      </c>
      <c r="Q617" s="129" t="str">
        <f t="shared" si="22"/>
        <v/>
      </c>
    </row>
    <row r="618" spans="16:17" x14ac:dyDescent="0.25">
      <c r="P618" s="128" t="str">
        <f t="shared" si="23"/>
        <v/>
      </c>
      <c r="Q618" s="129" t="str">
        <f t="shared" si="22"/>
        <v/>
      </c>
    </row>
    <row r="619" spans="16:17" x14ac:dyDescent="0.25">
      <c r="P619" s="128" t="str">
        <f t="shared" si="23"/>
        <v/>
      </c>
      <c r="Q619" s="129" t="str">
        <f t="shared" si="22"/>
        <v/>
      </c>
    </row>
    <row r="620" spans="16:17" x14ac:dyDescent="0.25">
      <c r="P620" s="128" t="str">
        <f t="shared" si="23"/>
        <v/>
      </c>
      <c r="Q620" s="129" t="str">
        <f t="shared" si="22"/>
        <v/>
      </c>
    </row>
    <row r="621" spans="16:17" x14ac:dyDescent="0.25">
      <c r="P621" s="128" t="str">
        <f t="shared" si="23"/>
        <v/>
      </c>
      <c r="Q621" s="129" t="str">
        <f t="shared" si="22"/>
        <v/>
      </c>
    </row>
    <row r="622" spans="16:17" x14ac:dyDescent="0.25">
      <c r="P622" s="128" t="str">
        <f t="shared" si="23"/>
        <v/>
      </c>
      <c r="Q622" s="129" t="str">
        <f t="shared" si="22"/>
        <v/>
      </c>
    </row>
    <row r="623" spans="16:17" x14ac:dyDescent="0.25">
      <c r="P623" s="128" t="str">
        <f t="shared" si="23"/>
        <v/>
      </c>
      <c r="Q623" s="129" t="str">
        <f t="shared" si="22"/>
        <v/>
      </c>
    </row>
    <row r="624" spans="16:17" x14ac:dyDescent="0.25">
      <c r="P624" s="128" t="str">
        <f t="shared" si="23"/>
        <v/>
      </c>
      <c r="Q624" s="129" t="str">
        <f t="shared" si="22"/>
        <v/>
      </c>
    </row>
    <row r="625" spans="16:17" x14ac:dyDescent="0.25">
      <c r="P625" s="128" t="str">
        <f t="shared" si="23"/>
        <v/>
      </c>
      <c r="Q625" s="129" t="str">
        <f t="shared" si="22"/>
        <v/>
      </c>
    </row>
    <row r="626" spans="16:17" x14ac:dyDescent="0.25">
      <c r="P626" s="128" t="str">
        <f t="shared" si="23"/>
        <v/>
      </c>
      <c r="Q626" s="129" t="str">
        <f t="shared" si="22"/>
        <v/>
      </c>
    </row>
    <row r="627" spans="16:17" x14ac:dyDescent="0.25">
      <c r="P627" s="128" t="str">
        <f t="shared" si="23"/>
        <v/>
      </c>
      <c r="Q627" s="129" t="str">
        <f t="shared" si="22"/>
        <v/>
      </c>
    </row>
    <row r="628" spans="16:17" x14ac:dyDescent="0.25">
      <c r="P628" s="128" t="str">
        <f t="shared" si="23"/>
        <v/>
      </c>
      <c r="Q628" s="129" t="str">
        <f t="shared" si="22"/>
        <v/>
      </c>
    </row>
    <row r="629" spans="16:17" x14ac:dyDescent="0.25">
      <c r="P629" s="128" t="str">
        <f t="shared" si="23"/>
        <v/>
      </c>
      <c r="Q629" s="129" t="str">
        <f t="shared" si="22"/>
        <v/>
      </c>
    </row>
    <row r="630" spans="16:17" x14ac:dyDescent="0.25">
      <c r="P630" s="128" t="str">
        <f t="shared" si="23"/>
        <v/>
      </c>
      <c r="Q630" s="129" t="str">
        <f t="shared" si="22"/>
        <v/>
      </c>
    </row>
    <row r="631" spans="16:17" x14ac:dyDescent="0.25">
      <c r="P631" s="128" t="str">
        <f t="shared" si="23"/>
        <v/>
      </c>
      <c r="Q631" s="129" t="str">
        <f t="shared" si="22"/>
        <v/>
      </c>
    </row>
    <row r="632" spans="16:17" x14ac:dyDescent="0.25">
      <c r="P632" s="128" t="str">
        <f t="shared" si="23"/>
        <v/>
      </c>
      <c r="Q632" s="129" t="str">
        <f t="shared" si="22"/>
        <v/>
      </c>
    </row>
    <row r="633" spans="16:17" x14ac:dyDescent="0.25">
      <c r="P633" s="128" t="str">
        <f t="shared" si="23"/>
        <v/>
      </c>
      <c r="Q633" s="129" t="str">
        <f t="shared" si="22"/>
        <v/>
      </c>
    </row>
    <row r="634" spans="16:17" x14ac:dyDescent="0.25">
      <c r="P634" s="128" t="str">
        <f t="shared" si="23"/>
        <v/>
      </c>
      <c r="Q634" s="129" t="str">
        <f t="shared" si="22"/>
        <v/>
      </c>
    </row>
    <row r="635" spans="16:17" x14ac:dyDescent="0.25">
      <c r="P635" s="128" t="str">
        <f t="shared" si="23"/>
        <v/>
      </c>
      <c r="Q635" s="129" t="str">
        <f t="shared" si="22"/>
        <v/>
      </c>
    </row>
    <row r="636" spans="16:17" x14ac:dyDescent="0.25">
      <c r="P636" s="128" t="str">
        <f t="shared" si="23"/>
        <v/>
      </c>
      <c r="Q636" s="129" t="str">
        <f t="shared" si="22"/>
        <v/>
      </c>
    </row>
    <row r="637" spans="16:17" x14ac:dyDescent="0.25">
      <c r="P637" s="128" t="str">
        <f t="shared" si="23"/>
        <v/>
      </c>
      <c r="Q637" s="129" t="str">
        <f t="shared" si="22"/>
        <v/>
      </c>
    </row>
    <row r="638" spans="16:17" x14ac:dyDescent="0.25">
      <c r="P638" s="128" t="str">
        <f t="shared" si="23"/>
        <v/>
      </c>
      <c r="Q638" s="129" t="str">
        <f t="shared" si="22"/>
        <v/>
      </c>
    </row>
    <row r="639" spans="16:17" x14ac:dyDescent="0.25">
      <c r="P639" s="128" t="str">
        <f t="shared" si="23"/>
        <v/>
      </c>
      <c r="Q639" s="129" t="str">
        <f t="shared" si="22"/>
        <v/>
      </c>
    </row>
    <row r="640" spans="16:17" x14ac:dyDescent="0.25">
      <c r="P640" s="128" t="str">
        <f t="shared" si="23"/>
        <v/>
      </c>
      <c r="Q640" s="129" t="str">
        <f t="shared" si="22"/>
        <v/>
      </c>
    </row>
    <row r="641" spans="16:17" x14ac:dyDescent="0.25">
      <c r="P641" s="128" t="str">
        <f t="shared" si="23"/>
        <v/>
      </c>
      <c r="Q641" s="129" t="str">
        <f t="shared" si="22"/>
        <v/>
      </c>
    </row>
    <row r="642" spans="16:17" x14ac:dyDescent="0.25">
      <c r="P642" s="128" t="str">
        <f t="shared" si="23"/>
        <v/>
      </c>
      <c r="Q642" s="129" t="str">
        <f t="shared" si="22"/>
        <v/>
      </c>
    </row>
    <row r="643" spans="16:17" x14ac:dyDescent="0.25">
      <c r="P643" s="128" t="str">
        <f t="shared" si="23"/>
        <v/>
      </c>
      <c r="Q643" s="129" t="str">
        <f t="shared" si="22"/>
        <v/>
      </c>
    </row>
    <row r="644" spans="16:17" x14ac:dyDescent="0.25">
      <c r="P644" s="128" t="str">
        <f t="shared" si="23"/>
        <v/>
      </c>
      <c r="Q644" s="129" t="str">
        <f t="shared" si="22"/>
        <v/>
      </c>
    </row>
    <row r="645" spans="16:17" x14ac:dyDescent="0.25">
      <c r="P645" s="128" t="str">
        <f t="shared" si="23"/>
        <v/>
      </c>
      <c r="Q645" s="129" t="str">
        <f t="shared" si="22"/>
        <v/>
      </c>
    </row>
    <row r="646" spans="16:17" x14ac:dyDescent="0.25">
      <c r="P646" s="128" t="str">
        <f t="shared" si="23"/>
        <v/>
      </c>
      <c r="Q646" s="129" t="str">
        <f t="shared" ref="Q646:Q709" si="24">IF(COUNTA(B274:O274)=0,"",SUM(B274:O274)/$P$4)</f>
        <v/>
      </c>
    </row>
    <row r="647" spans="16:17" x14ac:dyDescent="0.25">
      <c r="P647" s="128" t="str">
        <f t="shared" ref="P647:P710" si="25">IF(COUNTA(B275:O275)=0,"",SUM(B275:O275))</f>
        <v/>
      </c>
      <c r="Q647" s="129" t="str">
        <f t="shared" si="24"/>
        <v/>
      </c>
    </row>
    <row r="648" spans="16:17" x14ac:dyDescent="0.25">
      <c r="P648" s="128" t="str">
        <f t="shared" si="25"/>
        <v/>
      </c>
      <c r="Q648" s="129" t="str">
        <f t="shared" si="24"/>
        <v/>
      </c>
    </row>
    <row r="649" spans="16:17" x14ac:dyDescent="0.25">
      <c r="P649" s="128" t="str">
        <f t="shared" si="25"/>
        <v/>
      </c>
      <c r="Q649" s="129" t="str">
        <f t="shared" si="24"/>
        <v/>
      </c>
    </row>
    <row r="650" spans="16:17" x14ac:dyDescent="0.25">
      <c r="P650" s="128" t="str">
        <f t="shared" si="25"/>
        <v/>
      </c>
      <c r="Q650" s="129" t="str">
        <f t="shared" si="24"/>
        <v/>
      </c>
    </row>
    <row r="651" spans="16:17" x14ac:dyDescent="0.25">
      <c r="P651" s="128" t="str">
        <f t="shared" si="25"/>
        <v/>
      </c>
      <c r="Q651" s="129" t="str">
        <f t="shared" si="24"/>
        <v/>
      </c>
    </row>
    <row r="652" spans="16:17" x14ac:dyDescent="0.25">
      <c r="P652" s="128" t="str">
        <f t="shared" si="25"/>
        <v/>
      </c>
      <c r="Q652" s="129" t="str">
        <f t="shared" si="24"/>
        <v/>
      </c>
    </row>
    <row r="653" spans="16:17" x14ac:dyDescent="0.25">
      <c r="P653" s="128" t="str">
        <f t="shared" si="25"/>
        <v/>
      </c>
      <c r="Q653" s="129" t="str">
        <f t="shared" si="24"/>
        <v/>
      </c>
    </row>
    <row r="654" spans="16:17" x14ac:dyDescent="0.25">
      <c r="P654" s="128" t="str">
        <f t="shared" si="25"/>
        <v/>
      </c>
      <c r="Q654" s="129" t="str">
        <f t="shared" si="24"/>
        <v/>
      </c>
    </row>
    <row r="655" spans="16:17" x14ac:dyDescent="0.25">
      <c r="P655" s="128" t="str">
        <f t="shared" si="25"/>
        <v/>
      </c>
      <c r="Q655" s="129" t="str">
        <f t="shared" si="24"/>
        <v/>
      </c>
    </row>
    <row r="656" spans="16:17" x14ac:dyDescent="0.25">
      <c r="P656" s="128" t="str">
        <f t="shared" si="25"/>
        <v/>
      </c>
      <c r="Q656" s="129" t="str">
        <f t="shared" si="24"/>
        <v/>
      </c>
    </row>
    <row r="657" spans="16:17" x14ac:dyDescent="0.25">
      <c r="P657" s="128" t="str">
        <f t="shared" si="25"/>
        <v/>
      </c>
      <c r="Q657" s="129" t="str">
        <f t="shared" si="24"/>
        <v/>
      </c>
    </row>
    <row r="658" spans="16:17" x14ac:dyDescent="0.25">
      <c r="P658" s="128" t="str">
        <f t="shared" si="25"/>
        <v/>
      </c>
      <c r="Q658" s="129" t="str">
        <f t="shared" si="24"/>
        <v/>
      </c>
    </row>
    <row r="659" spans="16:17" x14ac:dyDescent="0.25">
      <c r="P659" s="128" t="str">
        <f t="shared" si="25"/>
        <v/>
      </c>
      <c r="Q659" s="129" t="str">
        <f t="shared" si="24"/>
        <v/>
      </c>
    </row>
    <row r="660" spans="16:17" x14ac:dyDescent="0.25">
      <c r="P660" s="128" t="str">
        <f t="shared" si="25"/>
        <v/>
      </c>
      <c r="Q660" s="129" t="str">
        <f t="shared" si="24"/>
        <v/>
      </c>
    </row>
    <row r="661" spans="16:17" x14ac:dyDescent="0.25">
      <c r="P661" s="128" t="str">
        <f t="shared" si="25"/>
        <v/>
      </c>
      <c r="Q661" s="129" t="str">
        <f t="shared" si="24"/>
        <v/>
      </c>
    </row>
    <row r="662" spans="16:17" x14ac:dyDescent="0.25">
      <c r="P662" s="128" t="str">
        <f t="shared" si="25"/>
        <v/>
      </c>
      <c r="Q662" s="129" t="str">
        <f t="shared" si="24"/>
        <v/>
      </c>
    </row>
    <row r="663" spans="16:17" x14ac:dyDescent="0.25">
      <c r="P663" s="128" t="str">
        <f t="shared" si="25"/>
        <v/>
      </c>
      <c r="Q663" s="129" t="str">
        <f t="shared" si="24"/>
        <v/>
      </c>
    </row>
    <row r="664" spans="16:17" x14ac:dyDescent="0.25">
      <c r="P664" s="128" t="str">
        <f t="shared" si="25"/>
        <v/>
      </c>
      <c r="Q664" s="129" t="str">
        <f t="shared" si="24"/>
        <v/>
      </c>
    </row>
    <row r="665" spans="16:17" x14ac:dyDescent="0.25">
      <c r="P665" s="128" t="str">
        <f t="shared" si="25"/>
        <v/>
      </c>
      <c r="Q665" s="129" t="str">
        <f t="shared" si="24"/>
        <v/>
      </c>
    </row>
    <row r="666" spans="16:17" x14ac:dyDescent="0.25">
      <c r="P666" s="128" t="str">
        <f t="shared" si="25"/>
        <v/>
      </c>
      <c r="Q666" s="129" t="str">
        <f t="shared" si="24"/>
        <v/>
      </c>
    </row>
    <row r="667" spans="16:17" x14ac:dyDescent="0.25">
      <c r="P667" s="128" t="str">
        <f t="shared" si="25"/>
        <v/>
      </c>
      <c r="Q667" s="129" t="str">
        <f t="shared" si="24"/>
        <v/>
      </c>
    </row>
    <row r="668" spans="16:17" x14ac:dyDescent="0.25">
      <c r="P668" s="128" t="str">
        <f t="shared" si="25"/>
        <v/>
      </c>
      <c r="Q668" s="129" t="str">
        <f t="shared" si="24"/>
        <v/>
      </c>
    </row>
    <row r="669" spans="16:17" x14ac:dyDescent="0.25">
      <c r="P669" s="128" t="str">
        <f t="shared" si="25"/>
        <v/>
      </c>
      <c r="Q669" s="129" t="str">
        <f t="shared" si="24"/>
        <v/>
      </c>
    </row>
    <row r="670" spans="16:17" x14ac:dyDescent="0.25">
      <c r="P670" s="128" t="str">
        <f t="shared" si="25"/>
        <v/>
      </c>
      <c r="Q670" s="129" t="str">
        <f t="shared" si="24"/>
        <v/>
      </c>
    </row>
    <row r="671" spans="16:17" x14ac:dyDescent="0.25">
      <c r="P671" s="128" t="str">
        <f t="shared" si="25"/>
        <v/>
      </c>
      <c r="Q671" s="129" t="str">
        <f t="shared" si="24"/>
        <v/>
      </c>
    </row>
    <row r="672" spans="16:17" x14ac:dyDescent="0.25">
      <c r="P672" s="128" t="str">
        <f t="shared" si="25"/>
        <v/>
      </c>
      <c r="Q672" s="129" t="str">
        <f t="shared" si="24"/>
        <v/>
      </c>
    </row>
    <row r="673" spans="16:17" x14ac:dyDescent="0.25">
      <c r="P673" s="128" t="str">
        <f t="shared" si="25"/>
        <v/>
      </c>
      <c r="Q673" s="129" t="str">
        <f t="shared" si="24"/>
        <v/>
      </c>
    </row>
    <row r="674" spans="16:17" x14ac:dyDescent="0.25">
      <c r="P674" s="128" t="str">
        <f t="shared" si="25"/>
        <v/>
      </c>
      <c r="Q674" s="129" t="str">
        <f t="shared" si="24"/>
        <v/>
      </c>
    </row>
    <row r="675" spans="16:17" x14ac:dyDescent="0.25">
      <c r="P675" s="128" t="str">
        <f t="shared" si="25"/>
        <v/>
      </c>
      <c r="Q675" s="129" t="str">
        <f t="shared" si="24"/>
        <v/>
      </c>
    </row>
    <row r="676" spans="16:17" x14ac:dyDescent="0.25">
      <c r="P676" s="128" t="str">
        <f t="shared" si="25"/>
        <v/>
      </c>
      <c r="Q676" s="129" t="str">
        <f t="shared" si="24"/>
        <v/>
      </c>
    </row>
    <row r="677" spans="16:17" x14ac:dyDescent="0.25">
      <c r="P677" s="128" t="str">
        <f t="shared" si="25"/>
        <v/>
      </c>
      <c r="Q677" s="129" t="str">
        <f t="shared" si="24"/>
        <v/>
      </c>
    </row>
    <row r="678" spans="16:17" x14ac:dyDescent="0.25">
      <c r="P678" s="128" t="str">
        <f t="shared" si="25"/>
        <v/>
      </c>
      <c r="Q678" s="129" t="str">
        <f t="shared" si="24"/>
        <v/>
      </c>
    </row>
    <row r="679" spans="16:17" x14ac:dyDescent="0.25">
      <c r="P679" s="128" t="str">
        <f t="shared" si="25"/>
        <v/>
      </c>
      <c r="Q679" s="129" t="str">
        <f t="shared" si="24"/>
        <v/>
      </c>
    </row>
    <row r="680" spans="16:17" x14ac:dyDescent="0.25">
      <c r="P680" s="128" t="str">
        <f t="shared" si="25"/>
        <v/>
      </c>
      <c r="Q680" s="129" t="str">
        <f t="shared" si="24"/>
        <v/>
      </c>
    </row>
    <row r="681" spans="16:17" x14ac:dyDescent="0.25">
      <c r="P681" s="128" t="str">
        <f t="shared" si="25"/>
        <v/>
      </c>
      <c r="Q681" s="129" t="str">
        <f t="shared" si="24"/>
        <v/>
      </c>
    </row>
    <row r="682" spans="16:17" x14ac:dyDescent="0.25">
      <c r="P682" s="128" t="str">
        <f t="shared" si="25"/>
        <v/>
      </c>
      <c r="Q682" s="129" t="str">
        <f t="shared" si="24"/>
        <v/>
      </c>
    </row>
    <row r="683" spans="16:17" x14ac:dyDescent="0.25">
      <c r="P683" s="128" t="str">
        <f t="shared" si="25"/>
        <v/>
      </c>
      <c r="Q683" s="129" t="str">
        <f t="shared" si="24"/>
        <v/>
      </c>
    </row>
    <row r="684" spans="16:17" x14ac:dyDescent="0.25">
      <c r="P684" s="128" t="str">
        <f t="shared" si="25"/>
        <v/>
      </c>
      <c r="Q684" s="129" t="str">
        <f t="shared" si="24"/>
        <v/>
      </c>
    </row>
    <row r="685" spans="16:17" x14ac:dyDescent="0.25">
      <c r="P685" s="128" t="str">
        <f t="shared" si="25"/>
        <v/>
      </c>
      <c r="Q685" s="129" t="str">
        <f t="shared" si="24"/>
        <v/>
      </c>
    </row>
    <row r="686" spans="16:17" x14ac:dyDescent="0.25">
      <c r="P686" s="128" t="str">
        <f t="shared" si="25"/>
        <v/>
      </c>
      <c r="Q686" s="129" t="str">
        <f t="shared" si="24"/>
        <v/>
      </c>
    </row>
    <row r="687" spans="16:17" x14ac:dyDescent="0.25">
      <c r="P687" s="128" t="str">
        <f t="shared" si="25"/>
        <v/>
      </c>
      <c r="Q687" s="129" t="str">
        <f t="shared" si="24"/>
        <v/>
      </c>
    </row>
    <row r="688" spans="16:17" x14ac:dyDescent="0.25">
      <c r="P688" s="128" t="str">
        <f t="shared" si="25"/>
        <v/>
      </c>
      <c r="Q688" s="129" t="str">
        <f t="shared" si="24"/>
        <v/>
      </c>
    </row>
    <row r="689" spans="16:17" x14ac:dyDescent="0.25">
      <c r="P689" s="128" t="str">
        <f t="shared" si="25"/>
        <v/>
      </c>
      <c r="Q689" s="129" t="str">
        <f t="shared" si="24"/>
        <v/>
      </c>
    </row>
    <row r="690" spans="16:17" x14ac:dyDescent="0.25">
      <c r="P690" s="128" t="str">
        <f t="shared" si="25"/>
        <v/>
      </c>
      <c r="Q690" s="129" t="str">
        <f t="shared" si="24"/>
        <v/>
      </c>
    </row>
    <row r="691" spans="16:17" x14ac:dyDescent="0.25">
      <c r="P691" s="128" t="str">
        <f t="shared" si="25"/>
        <v/>
      </c>
      <c r="Q691" s="129" t="str">
        <f t="shared" si="24"/>
        <v/>
      </c>
    </row>
    <row r="692" spans="16:17" x14ac:dyDescent="0.25">
      <c r="P692" s="128" t="str">
        <f t="shared" si="25"/>
        <v/>
      </c>
      <c r="Q692" s="129" t="str">
        <f t="shared" si="24"/>
        <v/>
      </c>
    </row>
    <row r="693" spans="16:17" x14ac:dyDescent="0.25">
      <c r="P693" s="128" t="str">
        <f t="shared" si="25"/>
        <v/>
      </c>
      <c r="Q693" s="129" t="str">
        <f t="shared" si="24"/>
        <v/>
      </c>
    </row>
    <row r="694" spans="16:17" x14ac:dyDescent="0.25">
      <c r="P694" s="128" t="str">
        <f t="shared" si="25"/>
        <v/>
      </c>
      <c r="Q694" s="129" t="str">
        <f t="shared" si="24"/>
        <v/>
      </c>
    </row>
    <row r="695" spans="16:17" x14ac:dyDescent="0.25">
      <c r="P695" s="128" t="str">
        <f t="shared" si="25"/>
        <v/>
      </c>
      <c r="Q695" s="129" t="str">
        <f t="shared" si="24"/>
        <v/>
      </c>
    </row>
    <row r="696" spans="16:17" x14ac:dyDescent="0.25">
      <c r="P696" s="128" t="str">
        <f t="shared" si="25"/>
        <v/>
      </c>
      <c r="Q696" s="129" t="str">
        <f t="shared" si="24"/>
        <v/>
      </c>
    </row>
    <row r="697" spans="16:17" x14ac:dyDescent="0.25">
      <c r="P697" s="128" t="str">
        <f t="shared" si="25"/>
        <v/>
      </c>
      <c r="Q697" s="129" t="str">
        <f t="shared" si="24"/>
        <v/>
      </c>
    </row>
    <row r="698" spans="16:17" x14ac:dyDescent="0.25">
      <c r="P698" s="128" t="str">
        <f t="shared" si="25"/>
        <v/>
      </c>
      <c r="Q698" s="129" t="str">
        <f t="shared" si="24"/>
        <v/>
      </c>
    </row>
    <row r="699" spans="16:17" x14ac:dyDescent="0.25">
      <c r="P699" s="128" t="str">
        <f t="shared" si="25"/>
        <v/>
      </c>
      <c r="Q699" s="129" t="str">
        <f t="shared" si="24"/>
        <v/>
      </c>
    </row>
    <row r="700" spans="16:17" x14ac:dyDescent="0.25">
      <c r="P700" s="128" t="str">
        <f t="shared" si="25"/>
        <v/>
      </c>
      <c r="Q700" s="129" t="str">
        <f t="shared" si="24"/>
        <v/>
      </c>
    </row>
    <row r="701" spans="16:17" x14ac:dyDescent="0.25">
      <c r="P701" s="128" t="str">
        <f t="shared" si="25"/>
        <v/>
      </c>
      <c r="Q701" s="129" t="str">
        <f t="shared" si="24"/>
        <v/>
      </c>
    </row>
    <row r="702" spans="16:17" x14ac:dyDescent="0.25">
      <c r="P702" s="128" t="str">
        <f t="shared" si="25"/>
        <v/>
      </c>
      <c r="Q702" s="129" t="str">
        <f t="shared" si="24"/>
        <v/>
      </c>
    </row>
    <row r="703" spans="16:17" x14ac:dyDescent="0.25">
      <c r="P703" s="128" t="str">
        <f t="shared" si="25"/>
        <v/>
      </c>
      <c r="Q703" s="129" t="str">
        <f t="shared" si="24"/>
        <v/>
      </c>
    </row>
    <row r="704" spans="16:17" x14ac:dyDescent="0.25">
      <c r="P704" s="128" t="str">
        <f t="shared" si="25"/>
        <v/>
      </c>
      <c r="Q704" s="129" t="str">
        <f t="shared" si="24"/>
        <v/>
      </c>
    </row>
    <row r="705" spans="16:17" x14ac:dyDescent="0.25">
      <c r="P705" s="128" t="str">
        <f t="shared" si="25"/>
        <v/>
      </c>
      <c r="Q705" s="129" t="str">
        <f t="shared" si="24"/>
        <v/>
      </c>
    </row>
    <row r="706" spans="16:17" x14ac:dyDescent="0.25">
      <c r="P706" s="128" t="str">
        <f t="shared" si="25"/>
        <v/>
      </c>
      <c r="Q706" s="129" t="str">
        <f t="shared" si="24"/>
        <v/>
      </c>
    </row>
    <row r="707" spans="16:17" x14ac:dyDescent="0.25">
      <c r="P707" s="128" t="str">
        <f t="shared" si="25"/>
        <v/>
      </c>
      <c r="Q707" s="129" t="str">
        <f t="shared" si="24"/>
        <v/>
      </c>
    </row>
    <row r="708" spans="16:17" x14ac:dyDescent="0.25">
      <c r="P708" s="128" t="str">
        <f t="shared" si="25"/>
        <v/>
      </c>
      <c r="Q708" s="129" t="str">
        <f t="shared" si="24"/>
        <v/>
      </c>
    </row>
    <row r="709" spans="16:17" x14ac:dyDescent="0.25">
      <c r="P709" s="128" t="str">
        <f t="shared" si="25"/>
        <v/>
      </c>
      <c r="Q709" s="129" t="str">
        <f t="shared" si="24"/>
        <v/>
      </c>
    </row>
    <row r="710" spans="16:17" x14ac:dyDescent="0.25">
      <c r="P710" s="128" t="str">
        <f t="shared" si="25"/>
        <v/>
      </c>
      <c r="Q710" s="129" t="str">
        <f t="shared" ref="Q710:Q736" si="26">IF(COUNTA(B338:O338)=0,"",SUM(B338:O338)/$P$4)</f>
        <v/>
      </c>
    </row>
    <row r="711" spans="16:17" x14ac:dyDescent="0.25">
      <c r="P711" s="128" t="str">
        <f t="shared" ref="P711:P748" si="27">IF(COUNTA(B339:O339)=0,"",SUM(B339:O339))</f>
        <v/>
      </c>
      <c r="Q711" s="129" t="str">
        <f t="shared" si="26"/>
        <v/>
      </c>
    </row>
    <row r="712" spans="16:17" x14ac:dyDescent="0.25">
      <c r="P712" s="128" t="str">
        <f t="shared" si="27"/>
        <v/>
      </c>
      <c r="Q712" s="129" t="str">
        <f t="shared" si="26"/>
        <v/>
      </c>
    </row>
    <row r="713" spans="16:17" x14ac:dyDescent="0.25">
      <c r="P713" s="128" t="str">
        <f t="shared" si="27"/>
        <v/>
      </c>
      <c r="Q713" s="129" t="str">
        <f t="shared" si="26"/>
        <v/>
      </c>
    </row>
    <row r="714" spans="16:17" x14ac:dyDescent="0.25">
      <c r="P714" s="128" t="str">
        <f t="shared" si="27"/>
        <v/>
      </c>
      <c r="Q714" s="129" t="str">
        <f t="shared" si="26"/>
        <v/>
      </c>
    </row>
    <row r="715" spans="16:17" x14ac:dyDescent="0.25">
      <c r="P715" s="128" t="str">
        <f t="shared" si="27"/>
        <v/>
      </c>
      <c r="Q715" s="129" t="str">
        <f t="shared" si="26"/>
        <v/>
      </c>
    </row>
    <row r="716" spans="16:17" x14ac:dyDescent="0.25">
      <c r="P716" s="128" t="str">
        <f t="shared" si="27"/>
        <v/>
      </c>
      <c r="Q716" s="129" t="str">
        <f t="shared" si="26"/>
        <v/>
      </c>
    </row>
    <row r="717" spans="16:17" x14ac:dyDescent="0.25">
      <c r="P717" s="128" t="str">
        <f t="shared" si="27"/>
        <v/>
      </c>
      <c r="Q717" s="129" t="str">
        <f t="shared" si="26"/>
        <v/>
      </c>
    </row>
    <row r="718" spans="16:17" x14ac:dyDescent="0.25">
      <c r="P718" s="128" t="str">
        <f t="shared" si="27"/>
        <v/>
      </c>
      <c r="Q718" s="129" t="str">
        <f t="shared" si="26"/>
        <v/>
      </c>
    </row>
    <row r="719" spans="16:17" x14ac:dyDescent="0.25">
      <c r="P719" s="128" t="str">
        <f t="shared" si="27"/>
        <v/>
      </c>
      <c r="Q719" s="129" t="str">
        <f t="shared" si="26"/>
        <v/>
      </c>
    </row>
    <row r="720" spans="16:17" x14ac:dyDescent="0.25">
      <c r="P720" s="128" t="str">
        <f t="shared" si="27"/>
        <v/>
      </c>
      <c r="Q720" s="129" t="str">
        <f t="shared" si="26"/>
        <v/>
      </c>
    </row>
    <row r="721" spans="16:17" x14ac:dyDescent="0.25">
      <c r="P721" s="128" t="str">
        <f t="shared" si="27"/>
        <v/>
      </c>
      <c r="Q721" s="129" t="str">
        <f t="shared" si="26"/>
        <v/>
      </c>
    </row>
    <row r="722" spans="16:17" x14ac:dyDescent="0.25">
      <c r="P722" s="128" t="str">
        <f t="shared" si="27"/>
        <v/>
      </c>
      <c r="Q722" s="129" t="str">
        <f t="shared" si="26"/>
        <v/>
      </c>
    </row>
    <row r="723" spans="16:17" x14ac:dyDescent="0.25">
      <c r="P723" s="128" t="str">
        <f t="shared" si="27"/>
        <v/>
      </c>
      <c r="Q723" s="129" t="str">
        <f t="shared" si="26"/>
        <v/>
      </c>
    </row>
    <row r="724" spans="16:17" x14ac:dyDescent="0.25">
      <c r="P724" s="128" t="str">
        <f t="shared" si="27"/>
        <v/>
      </c>
      <c r="Q724" s="129" t="str">
        <f t="shared" si="26"/>
        <v/>
      </c>
    </row>
    <row r="725" spans="16:17" x14ac:dyDescent="0.25">
      <c r="P725" s="128" t="str">
        <f t="shared" si="27"/>
        <v/>
      </c>
      <c r="Q725" s="129" t="str">
        <f t="shared" si="26"/>
        <v/>
      </c>
    </row>
    <row r="726" spans="16:17" x14ac:dyDescent="0.25">
      <c r="P726" s="128" t="str">
        <f t="shared" si="27"/>
        <v/>
      </c>
      <c r="Q726" s="129" t="str">
        <f t="shared" si="26"/>
        <v/>
      </c>
    </row>
    <row r="727" spans="16:17" x14ac:dyDescent="0.25">
      <c r="P727" s="128" t="str">
        <f t="shared" si="27"/>
        <v/>
      </c>
      <c r="Q727" s="129" t="str">
        <f t="shared" si="26"/>
        <v/>
      </c>
    </row>
    <row r="728" spans="16:17" x14ac:dyDescent="0.25">
      <c r="P728" s="128" t="str">
        <f t="shared" si="27"/>
        <v/>
      </c>
      <c r="Q728" s="129" t="str">
        <f t="shared" si="26"/>
        <v/>
      </c>
    </row>
    <row r="729" spans="16:17" x14ac:dyDescent="0.25">
      <c r="P729" s="128" t="str">
        <f t="shared" si="27"/>
        <v/>
      </c>
      <c r="Q729" s="129" t="str">
        <f t="shared" si="26"/>
        <v/>
      </c>
    </row>
    <row r="730" spans="16:17" x14ac:dyDescent="0.25">
      <c r="P730" s="128" t="str">
        <f t="shared" si="27"/>
        <v/>
      </c>
      <c r="Q730" s="129" t="str">
        <f t="shared" si="26"/>
        <v/>
      </c>
    </row>
    <row r="731" spans="16:17" x14ac:dyDescent="0.25">
      <c r="P731" s="128" t="str">
        <f t="shared" si="27"/>
        <v/>
      </c>
      <c r="Q731" s="129" t="str">
        <f t="shared" si="26"/>
        <v/>
      </c>
    </row>
    <row r="732" spans="16:17" x14ac:dyDescent="0.25">
      <c r="P732" s="128" t="str">
        <f t="shared" si="27"/>
        <v/>
      </c>
      <c r="Q732" s="129" t="str">
        <f t="shared" si="26"/>
        <v/>
      </c>
    </row>
    <row r="733" spans="16:17" x14ac:dyDescent="0.25">
      <c r="P733" s="128" t="str">
        <f t="shared" si="27"/>
        <v/>
      </c>
      <c r="Q733" s="129" t="str">
        <f t="shared" si="26"/>
        <v/>
      </c>
    </row>
    <row r="734" spans="16:17" x14ac:dyDescent="0.25">
      <c r="P734" s="128" t="str">
        <f t="shared" si="27"/>
        <v/>
      </c>
      <c r="Q734" s="129" t="str">
        <f t="shared" si="26"/>
        <v/>
      </c>
    </row>
    <row r="735" spans="16:17" x14ac:dyDescent="0.25">
      <c r="P735" s="128" t="str">
        <f t="shared" si="27"/>
        <v/>
      </c>
      <c r="Q735" s="129" t="str">
        <f t="shared" si="26"/>
        <v/>
      </c>
    </row>
    <row r="736" spans="16:17" x14ac:dyDescent="0.25">
      <c r="P736" s="128" t="str">
        <f t="shared" si="27"/>
        <v/>
      </c>
      <c r="Q736" s="129" t="str">
        <f t="shared" si="26"/>
        <v/>
      </c>
    </row>
    <row r="737" spans="16:16" x14ac:dyDescent="0.25">
      <c r="P737" s="128" t="str">
        <f t="shared" si="27"/>
        <v/>
      </c>
    </row>
    <row r="738" spans="16:16" x14ac:dyDescent="0.25">
      <c r="P738" s="128" t="str">
        <f t="shared" si="27"/>
        <v/>
      </c>
    </row>
    <row r="739" spans="16:16" x14ac:dyDescent="0.25">
      <c r="P739" s="128" t="str">
        <f t="shared" si="27"/>
        <v/>
      </c>
    </row>
    <row r="740" spans="16:16" x14ac:dyDescent="0.25">
      <c r="P740" s="128" t="str">
        <f t="shared" si="27"/>
        <v/>
      </c>
    </row>
    <row r="741" spans="16:16" x14ac:dyDescent="0.25">
      <c r="P741" s="128" t="str">
        <f t="shared" si="27"/>
        <v/>
      </c>
    </row>
    <row r="742" spans="16:16" x14ac:dyDescent="0.25">
      <c r="P742" s="128" t="str">
        <f t="shared" si="27"/>
        <v/>
      </c>
    </row>
    <row r="743" spans="16:16" x14ac:dyDescent="0.25">
      <c r="P743" s="128" t="str">
        <f t="shared" si="27"/>
        <v/>
      </c>
    </row>
    <row r="744" spans="16:16" x14ac:dyDescent="0.25">
      <c r="P744" s="128" t="str">
        <f t="shared" si="27"/>
        <v/>
      </c>
    </row>
    <row r="745" spans="16:16" x14ac:dyDescent="0.25">
      <c r="P745" s="128" t="str">
        <f t="shared" si="27"/>
        <v/>
      </c>
    </row>
    <row r="746" spans="16:16" x14ac:dyDescent="0.25">
      <c r="P746" s="128" t="str">
        <f t="shared" si="27"/>
        <v/>
      </c>
    </row>
    <row r="747" spans="16:16" x14ac:dyDescent="0.25">
      <c r="P747" s="128" t="str">
        <f t="shared" si="27"/>
        <v/>
      </c>
    </row>
    <row r="748" spans="16:16" x14ac:dyDescent="0.25">
      <c r="P748" s="128" t="str">
        <f t="shared" si="27"/>
        <v/>
      </c>
    </row>
  </sheetData>
  <sheetProtection selectLockedCells="1"/>
  <mergeCells count="7">
    <mergeCell ref="P1:Q1"/>
    <mergeCell ref="P2:Q2"/>
    <mergeCell ref="C1:D1"/>
    <mergeCell ref="E1:H1"/>
    <mergeCell ref="I1:O1"/>
    <mergeCell ref="B2:K2"/>
    <mergeCell ref="L2:O2"/>
  </mergeCells>
  <phoneticPr fontId="1" type="noConversion"/>
  <conditionalFormatting sqref="P1">
    <cfRule type="cellIs" dxfId="213" priority="269" stopIfTrue="1" operator="greaterThanOrEqual">
      <formula>0.85</formula>
    </cfRule>
    <cfRule type="cellIs" dxfId="212" priority="270" stopIfTrue="1" operator="lessThan">
      <formula>0.85</formula>
    </cfRule>
  </conditionalFormatting>
  <conditionalFormatting sqref="P140:P748 Q140:Q736">
    <cfRule type="expression" dxfId="211" priority="293" stopIfTrue="1">
      <formula>AND($P140/$P$4&gt;=0.8,$P140/$P$4&lt;0.845)</formula>
    </cfRule>
    <cfRule type="expression" dxfId="210" priority="294" stopIfTrue="1">
      <formula>($P140/$P$4)&lt;0.8</formula>
    </cfRule>
    <cfRule type="expression" dxfId="209" priority="295" stopIfTrue="1">
      <formula>($P140/$P$4)&gt;=0.845</formula>
    </cfRule>
  </conditionalFormatting>
  <conditionalFormatting sqref="P140:P377">
    <cfRule type="colorScale" priority="88">
      <colorScale>
        <cfvo type="num" val="0"/>
        <cfvo type="num" val="$X$4"/>
        <color rgb="FFEA4C4C"/>
        <color theme="6" tint="-0.249977111117893"/>
      </colorScale>
    </cfRule>
    <cfRule type="expression" dxfId="208" priority="89">
      <formula>ISNUMBER(P140)</formula>
    </cfRule>
  </conditionalFormatting>
  <conditionalFormatting sqref="Q140:Q377">
    <cfRule type="colorScale" priority="86">
      <colorScale>
        <cfvo type="num" val="0"/>
        <cfvo type="num" val="1"/>
        <color rgb="FFEA4C4C"/>
        <color theme="6" tint="-0.249977111117893"/>
      </colorScale>
    </cfRule>
    <cfRule type="expression" dxfId="207" priority="87">
      <formula>ISNUMBER(Q140)</formula>
    </cfRule>
  </conditionalFormatting>
  <conditionalFormatting sqref="D52">
    <cfRule type="expression" dxfId="206" priority="82">
      <formula>COUNTA(D52)&gt;0</formula>
    </cfRule>
  </conditionalFormatting>
  <conditionalFormatting sqref="B6:B19 B21:B51">
    <cfRule type="expression" dxfId="205" priority="59">
      <formula>COUNTA(B6)&gt;0</formula>
    </cfRule>
    <cfRule type="colorScale" priority="60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:C19 C21:C51">
    <cfRule type="expression" dxfId="204" priority="57">
      <formula>COUNTA(C6)&gt;0</formula>
    </cfRule>
    <cfRule type="colorScale" priority="58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F6:F19 F21:F51">
    <cfRule type="expression" dxfId="203" priority="53">
      <formula>COUNTA(F6)&gt;0</formula>
    </cfRule>
    <cfRule type="colorScale" priority="54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G6:G19 G21:G51">
    <cfRule type="expression" dxfId="202" priority="51">
      <formula>COUNTA(G6)&gt;0</formula>
    </cfRule>
    <cfRule type="colorScale" priority="52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:H19 H21:H51">
    <cfRule type="expression" dxfId="201" priority="49">
      <formula>COUNTA(H6)&gt;0</formula>
    </cfRule>
    <cfRule type="colorScale" priority="50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6:I19 I21:I51">
    <cfRule type="expression" dxfId="200" priority="47">
      <formula>COUNTA(I6)&gt;0</formula>
    </cfRule>
    <cfRule type="colorScale" priority="48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6:J19 J21:J51">
    <cfRule type="expression" dxfId="199" priority="45">
      <formula>COUNTA(J6)&gt;0</formula>
    </cfRule>
    <cfRule type="colorScale" priority="46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6:K19 K21:K51">
    <cfRule type="expression" dxfId="198" priority="43">
      <formula>COUNTA(K6)&gt;0</formula>
    </cfRule>
    <cfRule type="colorScale" priority="44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6:L19 L21:L51">
    <cfRule type="expression" dxfId="197" priority="41">
      <formula>COUNTA(L6)&gt;0</formula>
    </cfRule>
    <cfRule type="colorScale" priority="42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6:M19 M21:M51">
    <cfRule type="expression" dxfId="196" priority="39">
      <formula>COUNTA(M6)&gt;0</formula>
    </cfRule>
    <cfRule type="colorScale" priority="40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6:N19 N21:N51">
    <cfRule type="expression" dxfId="195" priority="37">
      <formula>COUNTA(N6)&gt;0</formula>
    </cfRule>
    <cfRule type="colorScale" priority="38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6:O19 O21:O51">
    <cfRule type="expression" dxfId="194" priority="35">
      <formula>COUNTA(O6)&gt;0</formula>
    </cfRule>
    <cfRule type="colorScale" priority="36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E6:E19 E21:E51">
    <cfRule type="expression" dxfId="193" priority="55">
      <formula>COUNTA(E6)&gt;0</formula>
    </cfRule>
    <cfRule type="colorScale" priority="56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:D19 D21:D51">
    <cfRule type="expression" dxfId="192" priority="33">
      <formula>COUNTA(D6)&gt;0</formula>
    </cfRule>
    <cfRule type="colorScale" priority="34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Q6:Q51">
    <cfRule type="colorScale" priority="31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191" priority="32">
      <formula>ISNUMBER(Q6)</formula>
    </cfRule>
  </conditionalFormatting>
  <conditionalFormatting sqref="P6:P51">
    <cfRule type="colorScale" priority="29">
      <colorScale>
        <cfvo type="num" val="0"/>
        <cfvo type="num" val="$P$4/2"/>
        <cfvo type="num" val="$P$4"/>
        <color rgb="FFEA4C4C"/>
        <color rgb="FFFFEB84"/>
        <color theme="6" tint="-0.249977111117893"/>
      </colorScale>
    </cfRule>
    <cfRule type="expression" dxfId="190" priority="30">
      <formula>ISNUMBER(P6)</formula>
    </cfRule>
  </conditionalFormatting>
  <conditionalFormatting sqref="B20">
    <cfRule type="expression" dxfId="188" priority="27">
      <formula>COUNTA(B20)&gt;0</formula>
    </cfRule>
    <cfRule type="colorScale" priority="28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20">
    <cfRule type="expression" dxfId="187" priority="25">
      <formula>COUNTA(C20)&gt;0</formula>
    </cfRule>
    <cfRule type="colorScale" priority="26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F20">
    <cfRule type="expression" dxfId="186" priority="21">
      <formula>COUNTA(F20)&gt;0</formula>
    </cfRule>
    <cfRule type="colorScale" priority="22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G20">
    <cfRule type="expression" dxfId="185" priority="19">
      <formula>COUNTA(G20)&gt;0</formula>
    </cfRule>
    <cfRule type="colorScale" priority="20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20">
    <cfRule type="expression" dxfId="184" priority="17">
      <formula>COUNTA(H20)&gt;0</formula>
    </cfRule>
    <cfRule type="colorScale" priority="18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20">
    <cfRule type="expression" dxfId="183" priority="15">
      <formula>COUNTA(I20)&gt;0</formula>
    </cfRule>
    <cfRule type="colorScale" priority="16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20">
    <cfRule type="expression" dxfId="182" priority="13">
      <formula>COUNTA(J20)&gt;0</formula>
    </cfRule>
    <cfRule type="colorScale" priority="14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20">
    <cfRule type="expression" dxfId="181" priority="11">
      <formula>COUNTA(K20)&gt;0</formula>
    </cfRule>
    <cfRule type="colorScale" priority="12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20">
    <cfRule type="expression" dxfId="180" priority="9">
      <formula>COUNTA(L20)&gt;0</formula>
    </cfRule>
    <cfRule type="colorScale" priority="10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20">
    <cfRule type="expression" dxfId="179" priority="7">
      <formula>COUNTA(M20)&gt;0</formula>
    </cfRule>
    <cfRule type="colorScale" priority="8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20">
    <cfRule type="expression" dxfId="178" priority="5">
      <formula>COUNTA(N20)&gt;0</formula>
    </cfRule>
    <cfRule type="colorScale" priority="6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20">
    <cfRule type="expression" dxfId="177" priority="3">
      <formula>COUNTA(O20)&gt;0</formula>
    </cfRule>
    <cfRule type="colorScale" priority="4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E20">
    <cfRule type="expression" dxfId="176" priority="23">
      <formula>COUNTA(E20)&gt;0</formula>
    </cfRule>
    <cfRule type="colorScale" priority="24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20">
    <cfRule type="expression" dxfId="175" priority="1">
      <formula>COUNTA(D20)&gt;0</formula>
    </cfRule>
    <cfRule type="colorScale" priority="2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printOptions horizontalCentered="1" gridLines="1"/>
  <pageMargins left="0.5" right="0.5" top="1.25" bottom="1" header="0.5" footer="0.5"/>
  <pageSetup orientation="landscape"/>
  <headerFooter alignWithMargins="0">
    <oddHeader>&amp;C&amp;"Times New Roman,Bold"&amp;12Mathematics
Skills Analysis Sheet for 2-D Geometry
Grade 1, &amp;A</oddHeader>
    <oddFooter>&amp;L&amp;"Times New Roman"&amp;8Grade 2, &amp;A
Fact Strategies for Addition and Subtraction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1" stopIfTrue="1" id="{8F03169A-529B-4A4F-82DE-6819327AF563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84"/>
  <sheetViews>
    <sheetView zoomScaleNormal="100" workbookViewId="0">
      <selection activeCell="H17" sqref="A1:XFD1048576"/>
    </sheetView>
  </sheetViews>
  <sheetFormatPr defaultColWidth="9.140625" defaultRowHeight="15.75" x14ac:dyDescent="0.25"/>
  <cols>
    <col min="1" max="1" width="26.42578125" style="177" bestFit="1" customWidth="1"/>
    <col min="2" max="2" width="4.28515625" style="177" customWidth="1"/>
    <col min="3" max="3" width="3.7109375" style="177" customWidth="1"/>
    <col min="4" max="4" width="4.42578125" style="177" customWidth="1"/>
    <col min="5" max="5" width="4.7109375" style="177" customWidth="1"/>
    <col min="6" max="6" width="4.140625" style="177" customWidth="1"/>
    <col min="7" max="7" width="3.42578125" style="177" customWidth="1"/>
    <col min="8" max="8" width="3.7109375" style="177" customWidth="1"/>
    <col min="9" max="9" width="4.7109375" style="177" customWidth="1"/>
    <col min="10" max="10" width="4.42578125" style="177" customWidth="1"/>
    <col min="11" max="11" width="6.7109375" style="177" customWidth="1"/>
    <col min="12" max="12" width="4.140625" style="177" customWidth="1"/>
    <col min="13" max="13" width="4" style="177" customWidth="1"/>
    <col min="14" max="15" width="3.85546875" style="177" customWidth="1"/>
    <col min="16" max="17" width="3.42578125" style="177" customWidth="1"/>
    <col min="18" max="18" width="7.28515625" style="177" bestFit="1" customWidth="1"/>
    <col min="19" max="19" width="11.28515625" style="177" bestFit="1" customWidth="1"/>
    <col min="20" max="16384" width="9.140625" style="177"/>
  </cols>
  <sheetData>
    <row r="1" spans="1:21" s="171" customFormat="1" ht="48.75" customHeight="1" x14ac:dyDescent="0.2">
      <c r="A1" s="159" t="str">
        <f>IF(Info!B1&lt;&gt;0,Info!B1,"Please fill out info sheet")</f>
        <v>Ms. Johnston</v>
      </c>
      <c r="B1" s="160" t="s">
        <v>42</v>
      </c>
      <c r="C1" s="160"/>
      <c r="D1" s="161" t="s">
        <v>6</v>
      </c>
      <c r="E1" s="162" t="s">
        <v>59</v>
      </c>
      <c r="F1" s="163"/>
      <c r="G1" s="163"/>
      <c r="H1" s="163"/>
      <c r="I1" s="163"/>
      <c r="J1" s="164"/>
      <c r="K1" s="165" t="s">
        <v>96</v>
      </c>
      <c r="L1" s="166"/>
      <c r="M1" s="166"/>
      <c r="N1" s="166"/>
      <c r="O1" s="166"/>
      <c r="P1" s="166"/>
      <c r="Q1" s="166"/>
      <c r="R1" s="167"/>
      <c r="S1" s="168">
        <f>IF(COUNTA(class_list)&lt;&gt;0,(COUNTIF(UNIT_3_scores,"&gt;=.795"))/COUNTA(class_list), "N/A")</f>
        <v>0.94444444444444442</v>
      </c>
      <c r="T1" s="169"/>
      <c r="U1" s="170"/>
    </row>
    <row r="2" spans="1:21" ht="114" customHeight="1" x14ac:dyDescent="0.25">
      <c r="A2" s="172" t="s">
        <v>1</v>
      </c>
      <c r="B2" s="173" t="s">
        <v>39</v>
      </c>
      <c r="C2" s="173"/>
      <c r="D2" s="173"/>
      <c r="E2" s="173"/>
      <c r="F2" s="173"/>
      <c r="G2" s="173"/>
      <c r="H2" s="173"/>
      <c r="I2" s="173" t="s">
        <v>93</v>
      </c>
      <c r="J2" s="173"/>
      <c r="K2" s="173"/>
      <c r="L2" s="173" t="s">
        <v>94</v>
      </c>
      <c r="M2" s="173"/>
      <c r="N2" s="173"/>
      <c r="O2" s="173" t="s">
        <v>95</v>
      </c>
      <c r="P2" s="173"/>
      <c r="Q2" s="173"/>
      <c r="R2" s="174" t="s">
        <v>31</v>
      </c>
      <c r="S2" s="175"/>
      <c r="T2" s="176"/>
      <c r="U2" s="176"/>
    </row>
    <row r="3" spans="1:21" ht="14.1" customHeight="1" x14ac:dyDescent="0.25">
      <c r="A3" s="178" t="s">
        <v>2</v>
      </c>
      <c r="B3" s="178">
        <v>1</v>
      </c>
      <c r="C3" s="178">
        <v>2</v>
      </c>
      <c r="D3" s="178">
        <v>3</v>
      </c>
      <c r="E3" s="178">
        <v>4</v>
      </c>
      <c r="F3" s="178">
        <v>5</v>
      </c>
      <c r="G3" s="178">
        <v>6</v>
      </c>
      <c r="H3" s="178">
        <v>7</v>
      </c>
      <c r="I3" s="178">
        <v>8</v>
      </c>
      <c r="J3" s="178">
        <v>9</v>
      </c>
      <c r="K3" s="178">
        <v>10</v>
      </c>
      <c r="L3" s="178">
        <v>11</v>
      </c>
      <c r="M3" s="178">
        <v>12</v>
      </c>
      <c r="N3" s="178">
        <v>13</v>
      </c>
      <c r="O3" s="178">
        <v>14</v>
      </c>
      <c r="P3" s="178">
        <v>15</v>
      </c>
      <c r="Q3" s="178">
        <v>16</v>
      </c>
      <c r="R3" s="178" t="s">
        <v>4</v>
      </c>
      <c r="S3" s="178" t="s">
        <v>17</v>
      </c>
    </row>
    <row r="4" spans="1:21" ht="14.1" customHeight="1" x14ac:dyDescent="0.25">
      <c r="A4" s="178" t="s">
        <v>3</v>
      </c>
      <c r="B4" s="179">
        <v>1</v>
      </c>
      <c r="C4" s="179">
        <v>1</v>
      </c>
      <c r="D4" s="180">
        <v>1</v>
      </c>
      <c r="E4" s="179">
        <v>1</v>
      </c>
      <c r="F4" s="179">
        <v>1</v>
      </c>
      <c r="G4" s="179">
        <v>1</v>
      </c>
      <c r="H4" s="179">
        <v>3</v>
      </c>
      <c r="I4" s="179">
        <v>1</v>
      </c>
      <c r="J4" s="179">
        <v>1</v>
      </c>
      <c r="K4" s="179">
        <v>1</v>
      </c>
      <c r="L4" s="179">
        <v>1</v>
      </c>
      <c r="M4" s="179">
        <v>1</v>
      </c>
      <c r="N4" s="179">
        <v>1</v>
      </c>
      <c r="O4" s="179">
        <v>1</v>
      </c>
      <c r="P4" s="179">
        <v>1</v>
      </c>
      <c r="Q4" s="179">
        <v>1</v>
      </c>
      <c r="R4" s="178">
        <f>SUM(B4:Q4)</f>
        <v>18</v>
      </c>
      <c r="S4" s="178"/>
    </row>
    <row r="5" spans="1:21" x14ac:dyDescent="0.25">
      <c r="A5" s="122" t="s">
        <v>0</v>
      </c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</row>
    <row r="6" spans="1:21" x14ac:dyDescent="0.25">
      <c r="A6" s="123" t="str">
        <f>(IF(Info!$B3&lt;&gt;"",Info!$B3,""))</f>
        <v>Cal Ripkin</v>
      </c>
      <c r="B6" s="124">
        <v>1</v>
      </c>
      <c r="C6" s="124">
        <v>1</v>
      </c>
      <c r="D6" s="124">
        <v>1</v>
      </c>
      <c r="E6" s="124">
        <v>1</v>
      </c>
      <c r="F6" s="124">
        <v>1</v>
      </c>
      <c r="G6" s="124">
        <v>1</v>
      </c>
      <c r="H6" s="124">
        <v>3</v>
      </c>
      <c r="I6" s="124">
        <v>1</v>
      </c>
      <c r="J6" s="124">
        <v>1</v>
      </c>
      <c r="K6" s="124">
        <v>1</v>
      </c>
      <c r="L6" s="124">
        <v>1</v>
      </c>
      <c r="M6" s="124">
        <v>1</v>
      </c>
      <c r="N6" s="124">
        <v>1</v>
      </c>
      <c r="O6" s="124">
        <v>1</v>
      </c>
      <c r="P6" s="124">
        <v>1</v>
      </c>
      <c r="Q6" s="124">
        <v>1</v>
      </c>
      <c r="R6" s="125">
        <f t="shared" ref="R6:R51" si="0">IF(COUNTA(B6:Q6)=0,"",SUM(B6:Q6))</f>
        <v>18</v>
      </c>
      <c r="S6" s="126">
        <f t="shared" ref="S6:S51" si="1">IF(COUNTA(B6:Q6)=0,"",SUM(B6:Q6)/$R$4)</f>
        <v>1</v>
      </c>
    </row>
    <row r="7" spans="1:21" x14ac:dyDescent="0.25">
      <c r="A7" s="123" t="str">
        <f>(IF(Info!$B4&lt;&gt;"",Info!$B4,""))</f>
        <v>Brooks Robinson</v>
      </c>
      <c r="B7" s="124">
        <v>1</v>
      </c>
      <c r="C7" s="124">
        <v>1</v>
      </c>
      <c r="D7" s="124">
        <v>1</v>
      </c>
      <c r="E7" s="124">
        <v>1</v>
      </c>
      <c r="F7" s="124">
        <v>1</v>
      </c>
      <c r="G7" s="124">
        <v>1</v>
      </c>
      <c r="H7" s="124">
        <v>3</v>
      </c>
      <c r="I7" s="124">
        <v>1</v>
      </c>
      <c r="J7" s="124">
        <v>1</v>
      </c>
      <c r="K7" s="124">
        <v>1</v>
      </c>
      <c r="L7" s="124">
        <v>0</v>
      </c>
      <c r="M7" s="124">
        <v>1</v>
      </c>
      <c r="N7" s="124">
        <v>1</v>
      </c>
      <c r="O7" s="124">
        <v>1</v>
      </c>
      <c r="P7" s="124">
        <v>1</v>
      </c>
      <c r="Q7" s="124">
        <v>1</v>
      </c>
      <c r="R7" s="125">
        <f t="shared" si="0"/>
        <v>17</v>
      </c>
      <c r="S7" s="126">
        <f t="shared" si="1"/>
        <v>0.94444444444444442</v>
      </c>
    </row>
    <row r="8" spans="1:21" x14ac:dyDescent="0.25">
      <c r="A8" s="123" t="str">
        <f>(IF(Info!$B5&lt;&gt;"",Info!$B5,""))</f>
        <v>Frank Robinson</v>
      </c>
      <c r="B8" s="124">
        <v>1</v>
      </c>
      <c r="C8" s="124">
        <v>1</v>
      </c>
      <c r="D8" s="124">
        <v>1</v>
      </c>
      <c r="E8" s="124">
        <v>1</v>
      </c>
      <c r="F8" s="124">
        <v>1</v>
      </c>
      <c r="G8" s="124">
        <v>1</v>
      </c>
      <c r="H8" s="124">
        <v>3</v>
      </c>
      <c r="I8" s="124">
        <v>1</v>
      </c>
      <c r="J8" s="124">
        <v>1</v>
      </c>
      <c r="K8" s="124">
        <v>1</v>
      </c>
      <c r="L8" s="124">
        <v>1</v>
      </c>
      <c r="M8" s="124">
        <v>1</v>
      </c>
      <c r="N8" s="124">
        <v>1</v>
      </c>
      <c r="O8" s="124">
        <v>1</v>
      </c>
      <c r="P8" s="124">
        <v>1</v>
      </c>
      <c r="Q8" s="124">
        <v>1</v>
      </c>
      <c r="R8" s="125">
        <f t="shared" si="0"/>
        <v>18</v>
      </c>
      <c r="S8" s="126">
        <f t="shared" si="1"/>
        <v>1</v>
      </c>
    </row>
    <row r="9" spans="1:21" x14ac:dyDescent="0.25">
      <c r="A9" s="123" t="str">
        <f>(IF(Info!$B6&lt;&gt;"",Info!$B6,""))</f>
        <v>Jim Palmer</v>
      </c>
      <c r="B9" s="124">
        <v>1</v>
      </c>
      <c r="C9" s="124">
        <v>1</v>
      </c>
      <c r="D9" s="124">
        <v>1</v>
      </c>
      <c r="E9" s="124">
        <v>1</v>
      </c>
      <c r="F9" s="124">
        <v>1</v>
      </c>
      <c r="G9" s="124">
        <v>1</v>
      </c>
      <c r="H9" s="124">
        <v>3</v>
      </c>
      <c r="I9" s="124">
        <v>1</v>
      </c>
      <c r="J9" s="124">
        <v>1</v>
      </c>
      <c r="K9" s="124">
        <v>1</v>
      </c>
      <c r="L9" s="124">
        <v>1</v>
      </c>
      <c r="M9" s="124">
        <v>1</v>
      </c>
      <c r="N9" s="124">
        <v>1</v>
      </c>
      <c r="O9" s="124">
        <v>1</v>
      </c>
      <c r="P9" s="124">
        <v>1</v>
      </c>
      <c r="Q9" s="124">
        <v>0</v>
      </c>
      <c r="R9" s="125">
        <f t="shared" si="0"/>
        <v>17</v>
      </c>
      <c r="S9" s="126">
        <f t="shared" si="1"/>
        <v>0.94444444444444442</v>
      </c>
    </row>
    <row r="10" spans="1:21" x14ac:dyDescent="0.25">
      <c r="A10" s="123" t="str">
        <f>(IF(Info!$B7&lt;&gt;"",Info!$B7,""))</f>
        <v>Eddie Murray</v>
      </c>
      <c r="B10" s="124">
        <v>1</v>
      </c>
      <c r="C10" s="124">
        <v>1</v>
      </c>
      <c r="D10" s="124">
        <v>1</v>
      </c>
      <c r="E10" s="124">
        <v>1</v>
      </c>
      <c r="F10" s="124">
        <v>1</v>
      </c>
      <c r="G10" s="124">
        <v>1</v>
      </c>
      <c r="H10" s="124">
        <v>3</v>
      </c>
      <c r="I10" s="124">
        <v>0</v>
      </c>
      <c r="J10" s="124">
        <v>0</v>
      </c>
      <c r="K10" s="124">
        <v>0</v>
      </c>
      <c r="L10" s="124">
        <v>1</v>
      </c>
      <c r="M10" s="124">
        <v>1</v>
      </c>
      <c r="N10" s="124">
        <v>0</v>
      </c>
      <c r="O10" s="124">
        <v>0</v>
      </c>
      <c r="P10" s="124">
        <v>1</v>
      </c>
      <c r="Q10" s="124">
        <v>0</v>
      </c>
      <c r="R10" s="125">
        <f t="shared" si="0"/>
        <v>12</v>
      </c>
      <c r="S10" s="126">
        <f t="shared" si="1"/>
        <v>0.66666666666666663</v>
      </c>
    </row>
    <row r="11" spans="1:21" x14ac:dyDescent="0.25">
      <c r="A11" s="123" t="str">
        <f>(IF(Info!$B8&lt;&gt;"",Info!$B8,""))</f>
        <v>Manny Machado</v>
      </c>
      <c r="B11" s="124">
        <v>1</v>
      </c>
      <c r="C11" s="124">
        <v>1</v>
      </c>
      <c r="D11" s="124">
        <v>1</v>
      </c>
      <c r="E11" s="124">
        <v>1</v>
      </c>
      <c r="F11" s="124">
        <v>1</v>
      </c>
      <c r="G11" s="124">
        <v>1</v>
      </c>
      <c r="H11" s="124">
        <v>3</v>
      </c>
      <c r="I11" s="124">
        <v>1</v>
      </c>
      <c r="J11" s="124">
        <v>0</v>
      </c>
      <c r="K11" s="124">
        <v>1</v>
      </c>
      <c r="L11" s="124">
        <v>1</v>
      </c>
      <c r="M11" s="124">
        <v>1</v>
      </c>
      <c r="N11" s="124">
        <v>1</v>
      </c>
      <c r="O11" s="124">
        <v>1</v>
      </c>
      <c r="P11" s="124">
        <v>1</v>
      </c>
      <c r="Q11" s="124">
        <v>1</v>
      </c>
      <c r="R11" s="125">
        <f t="shared" si="0"/>
        <v>17</v>
      </c>
      <c r="S11" s="126">
        <f t="shared" si="1"/>
        <v>0.94444444444444442</v>
      </c>
    </row>
    <row r="12" spans="1:21" x14ac:dyDescent="0.25">
      <c r="A12" s="123" t="str">
        <f>(IF(Info!$B9&lt;&gt;"",Info!$B9,""))</f>
        <v>Boog Powell</v>
      </c>
      <c r="B12" s="124">
        <v>1</v>
      </c>
      <c r="C12" s="124">
        <v>1</v>
      </c>
      <c r="D12" s="124">
        <v>1</v>
      </c>
      <c r="E12" s="124">
        <v>1</v>
      </c>
      <c r="F12" s="124">
        <v>1</v>
      </c>
      <c r="G12" s="124">
        <v>1</v>
      </c>
      <c r="H12" s="124">
        <v>3</v>
      </c>
      <c r="I12" s="124">
        <v>1</v>
      </c>
      <c r="J12" s="124">
        <v>1</v>
      </c>
      <c r="K12" s="124">
        <v>1</v>
      </c>
      <c r="L12" s="124">
        <v>1</v>
      </c>
      <c r="M12" s="124">
        <v>1</v>
      </c>
      <c r="N12" s="124">
        <v>1</v>
      </c>
      <c r="O12" s="124">
        <v>1</v>
      </c>
      <c r="P12" s="124">
        <v>1</v>
      </c>
      <c r="Q12" s="124">
        <v>1</v>
      </c>
      <c r="R12" s="125">
        <f t="shared" si="0"/>
        <v>18</v>
      </c>
      <c r="S12" s="126">
        <f t="shared" si="1"/>
        <v>1</v>
      </c>
    </row>
    <row r="13" spans="1:21" x14ac:dyDescent="0.25">
      <c r="A13" s="123" t="str">
        <f>(IF(Info!$B10&lt;&gt;"",Info!$B10,""))</f>
        <v>Brady Anderson</v>
      </c>
      <c r="B13" s="124">
        <v>1</v>
      </c>
      <c r="C13" s="124">
        <v>1</v>
      </c>
      <c r="D13" s="124">
        <v>1</v>
      </c>
      <c r="E13" s="124">
        <v>1</v>
      </c>
      <c r="F13" s="124">
        <v>1</v>
      </c>
      <c r="G13" s="124">
        <v>1</v>
      </c>
      <c r="H13" s="124">
        <v>3</v>
      </c>
      <c r="I13" s="124">
        <v>1</v>
      </c>
      <c r="J13" s="124">
        <v>0</v>
      </c>
      <c r="K13" s="124">
        <v>1</v>
      </c>
      <c r="L13" s="124">
        <v>1</v>
      </c>
      <c r="M13" s="124">
        <v>1</v>
      </c>
      <c r="N13" s="124">
        <v>1</v>
      </c>
      <c r="O13" s="124">
        <v>1</v>
      </c>
      <c r="P13" s="124">
        <v>1</v>
      </c>
      <c r="Q13" s="124">
        <v>1</v>
      </c>
      <c r="R13" s="125">
        <f t="shared" si="0"/>
        <v>17</v>
      </c>
      <c r="S13" s="126">
        <f t="shared" si="1"/>
        <v>0.94444444444444442</v>
      </c>
    </row>
    <row r="14" spans="1:21" x14ac:dyDescent="0.25">
      <c r="A14" s="123" t="str">
        <f>(IF(Info!$B11&lt;&gt;"",Info!$B11,""))</f>
        <v>Rafael Palmero</v>
      </c>
      <c r="B14" s="124">
        <v>1</v>
      </c>
      <c r="C14" s="124">
        <v>1</v>
      </c>
      <c r="D14" s="124">
        <v>1</v>
      </c>
      <c r="E14" s="124">
        <v>1</v>
      </c>
      <c r="F14" s="124">
        <v>1</v>
      </c>
      <c r="G14" s="124">
        <v>1</v>
      </c>
      <c r="H14" s="124">
        <v>3</v>
      </c>
      <c r="I14" s="124">
        <v>1</v>
      </c>
      <c r="J14" s="124">
        <v>0</v>
      </c>
      <c r="K14" s="124">
        <v>1</v>
      </c>
      <c r="L14" s="124">
        <v>1</v>
      </c>
      <c r="M14" s="124">
        <v>1</v>
      </c>
      <c r="N14" s="124">
        <v>1</v>
      </c>
      <c r="O14" s="124">
        <v>1</v>
      </c>
      <c r="P14" s="124">
        <v>1</v>
      </c>
      <c r="Q14" s="124">
        <v>1</v>
      </c>
      <c r="R14" s="125">
        <f t="shared" si="0"/>
        <v>17</v>
      </c>
      <c r="S14" s="126">
        <f t="shared" si="1"/>
        <v>0.94444444444444442</v>
      </c>
    </row>
    <row r="15" spans="1:21" x14ac:dyDescent="0.25">
      <c r="A15" s="123" t="str">
        <f>(IF(Info!$B12&lt;&gt;"",Info!$B12,""))</f>
        <v>Melvin Mora</v>
      </c>
      <c r="B15" s="124">
        <v>1</v>
      </c>
      <c r="C15" s="124">
        <v>1</v>
      </c>
      <c r="D15" s="124">
        <v>1</v>
      </c>
      <c r="E15" s="124">
        <v>1</v>
      </c>
      <c r="F15" s="124">
        <v>1</v>
      </c>
      <c r="G15" s="124">
        <v>1</v>
      </c>
      <c r="H15" s="124">
        <v>1</v>
      </c>
      <c r="I15" s="124">
        <v>1</v>
      </c>
      <c r="J15" s="124">
        <v>0.5</v>
      </c>
      <c r="K15" s="124">
        <v>1</v>
      </c>
      <c r="L15" s="124">
        <v>1</v>
      </c>
      <c r="M15" s="124">
        <v>1</v>
      </c>
      <c r="N15" s="124">
        <v>1</v>
      </c>
      <c r="O15" s="124">
        <v>1</v>
      </c>
      <c r="P15" s="124">
        <v>1</v>
      </c>
      <c r="Q15" s="124">
        <v>0</v>
      </c>
      <c r="R15" s="125">
        <f t="shared" si="0"/>
        <v>14.5</v>
      </c>
      <c r="S15" s="126">
        <f t="shared" si="1"/>
        <v>0.80555555555555558</v>
      </c>
    </row>
    <row r="16" spans="1:21" x14ac:dyDescent="0.25">
      <c r="A16" s="123" t="str">
        <f>(IF(Info!$B13&lt;&gt;"",Info!$B13,""))</f>
        <v>Dave McNally</v>
      </c>
      <c r="B16" s="124">
        <v>1</v>
      </c>
      <c r="C16" s="124">
        <v>1</v>
      </c>
      <c r="D16" s="124">
        <v>1</v>
      </c>
      <c r="E16" s="124">
        <v>1</v>
      </c>
      <c r="F16" s="124">
        <v>1</v>
      </c>
      <c r="G16" s="124">
        <v>1</v>
      </c>
      <c r="H16" s="124">
        <v>3</v>
      </c>
      <c r="I16" s="124">
        <v>1</v>
      </c>
      <c r="J16" s="124">
        <v>1</v>
      </c>
      <c r="K16" s="124">
        <v>1</v>
      </c>
      <c r="L16" s="124">
        <v>1</v>
      </c>
      <c r="M16" s="124">
        <v>0</v>
      </c>
      <c r="N16" s="124">
        <v>1</v>
      </c>
      <c r="O16" s="124">
        <v>1</v>
      </c>
      <c r="P16" s="124">
        <v>1</v>
      </c>
      <c r="Q16" s="124">
        <v>1</v>
      </c>
      <c r="R16" s="125">
        <f t="shared" si="0"/>
        <v>17</v>
      </c>
      <c r="S16" s="126">
        <f t="shared" si="1"/>
        <v>0.94444444444444442</v>
      </c>
    </row>
    <row r="17" spans="1:19" x14ac:dyDescent="0.25">
      <c r="A17" s="123" t="str">
        <f>(IF(Info!$B14&lt;&gt;"",Info!$B14,""))</f>
        <v>Ken Singleton</v>
      </c>
      <c r="B17" s="124">
        <v>1</v>
      </c>
      <c r="C17" s="124">
        <v>1</v>
      </c>
      <c r="D17" s="124">
        <v>1</v>
      </c>
      <c r="E17" s="124">
        <v>1</v>
      </c>
      <c r="F17" s="124">
        <v>1</v>
      </c>
      <c r="G17" s="124">
        <v>1</v>
      </c>
      <c r="H17" s="124">
        <v>3</v>
      </c>
      <c r="I17" s="124">
        <v>1</v>
      </c>
      <c r="J17" s="124">
        <v>1</v>
      </c>
      <c r="K17" s="124">
        <v>1</v>
      </c>
      <c r="L17" s="124">
        <v>1</v>
      </c>
      <c r="M17" s="124">
        <v>1</v>
      </c>
      <c r="N17" s="124">
        <v>1</v>
      </c>
      <c r="O17" s="124">
        <v>1</v>
      </c>
      <c r="P17" s="124">
        <v>1</v>
      </c>
      <c r="Q17" s="124">
        <v>1</v>
      </c>
      <c r="R17" s="125">
        <f t="shared" si="0"/>
        <v>18</v>
      </c>
      <c r="S17" s="126">
        <f t="shared" si="1"/>
        <v>1</v>
      </c>
    </row>
    <row r="18" spans="1:19" x14ac:dyDescent="0.25">
      <c r="A18" s="123" t="str">
        <f>(IF(Info!$B15&lt;&gt;"",Info!$B15,""))</f>
        <v>Jonathan Schoop</v>
      </c>
      <c r="B18" s="124">
        <v>1</v>
      </c>
      <c r="C18" s="124">
        <v>1</v>
      </c>
      <c r="D18" s="124">
        <v>1</v>
      </c>
      <c r="E18" s="124">
        <v>1</v>
      </c>
      <c r="F18" s="124">
        <v>1</v>
      </c>
      <c r="G18" s="124">
        <v>1</v>
      </c>
      <c r="H18" s="124">
        <v>3</v>
      </c>
      <c r="I18" s="124">
        <v>1</v>
      </c>
      <c r="J18" s="124">
        <v>1</v>
      </c>
      <c r="K18" s="124">
        <v>1</v>
      </c>
      <c r="L18" s="124">
        <v>1</v>
      </c>
      <c r="M18" s="124">
        <v>1</v>
      </c>
      <c r="N18" s="124">
        <v>1</v>
      </c>
      <c r="O18" s="124">
        <v>1</v>
      </c>
      <c r="P18" s="124">
        <v>1</v>
      </c>
      <c r="Q18" s="124">
        <v>1</v>
      </c>
      <c r="R18" s="125">
        <f t="shared" si="0"/>
        <v>18</v>
      </c>
      <c r="S18" s="126">
        <f t="shared" si="1"/>
        <v>1</v>
      </c>
    </row>
    <row r="19" spans="1:19" x14ac:dyDescent="0.25">
      <c r="A19" s="123" t="str">
        <f>(IF(Info!$B16&lt;&gt;"",Info!$B16,""))</f>
        <v>Paul Blair</v>
      </c>
      <c r="B19" s="124">
        <v>1</v>
      </c>
      <c r="C19" s="124">
        <v>1</v>
      </c>
      <c r="D19" s="124">
        <v>1</v>
      </c>
      <c r="E19" s="124">
        <v>1</v>
      </c>
      <c r="F19" s="124">
        <v>0</v>
      </c>
      <c r="G19" s="124">
        <v>1</v>
      </c>
      <c r="H19" s="124">
        <v>3</v>
      </c>
      <c r="I19" s="124">
        <v>1</v>
      </c>
      <c r="J19" s="124">
        <v>0</v>
      </c>
      <c r="K19" s="124">
        <v>1</v>
      </c>
      <c r="L19" s="124">
        <v>1</v>
      </c>
      <c r="M19" s="124">
        <v>1</v>
      </c>
      <c r="N19" s="124">
        <v>1</v>
      </c>
      <c r="O19" s="124">
        <v>0</v>
      </c>
      <c r="P19" s="124">
        <v>1</v>
      </c>
      <c r="Q19" s="124">
        <v>1</v>
      </c>
      <c r="R19" s="125">
        <f t="shared" si="0"/>
        <v>15</v>
      </c>
      <c r="S19" s="126">
        <f t="shared" si="1"/>
        <v>0.83333333333333337</v>
      </c>
    </row>
    <row r="20" spans="1:19" x14ac:dyDescent="0.25">
      <c r="A20" s="123" t="str">
        <f>(IF(Info!$B17&lt;&gt;"",Info!$B17,""))</f>
        <v>Mark Belanger</v>
      </c>
      <c r="B20" s="124">
        <v>1</v>
      </c>
      <c r="C20" s="124">
        <v>1</v>
      </c>
      <c r="D20" s="124">
        <v>1</v>
      </c>
      <c r="E20" s="124">
        <v>1</v>
      </c>
      <c r="F20" s="124">
        <v>1</v>
      </c>
      <c r="G20" s="124">
        <v>1</v>
      </c>
      <c r="H20" s="124">
        <v>3</v>
      </c>
      <c r="I20" s="124">
        <v>1</v>
      </c>
      <c r="J20" s="124">
        <v>0</v>
      </c>
      <c r="K20" s="124">
        <v>0</v>
      </c>
      <c r="L20" s="124">
        <v>1</v>
      </c>
      <c r="M20" s="124">
        <v>1</v>
      </c>
      <c r="N20" s="124">
        <v>1</v>
      </c>
      <c r="O20" s="124">
        <v>1</v>
      </c>
      <c r="P20" s="124">
        <v>1</v>
      </c>
      <c r="Q20" s="124">
        <v>1</v>
      </c>
      <c r="R20" s="125">
        <f t="shared" si="0"/>
        <v>16</v>
      </c>
      <c r="S20" s="126">
        <f t="shared" si="1"/>
        <v>0.88888888888888884</v>
      </c>
    </row>
    <row r="21" spans="1:19" x14ac:dyDescent="0.25">
      <c r="A21" s="123" t="str">
        <f>(IF(Info!$B18&lt;&gt;"",Info!$B18,""))</f>
        <v>Davey Johnson</v>
      </c>
      <c r="B21" s="124">
        <v>1</v>
      </c>
      <c r="C21" s="124">
        <v>1</v>
      </c>
      <c r="D21" s="124">
        <v>1</v>
      </c>
      <c r="E21" s="124">
        <v>1</v>
      </c>
      <c r="F21" s="124">
        <v>1</v>
      </c>
      <c r="G21" s="124">
        <v>1</v>
      </c>
      <c r="H21" s="124">
        <v>3</v>
      </c>
      <c r="I21" s="124">
        <v>1</v>
      </c>
      <c r="J21" s="124">
        <v>1</v>
      </c>
      <c r="K21" s="124">
        <v>1</v>
      </c>
      <c r="L21" s="124">
        <v>1</v>
      </c>
      <c r="M21" s="124">
        <v>1</v>
      </c>
      <c r="N21" s="124">
        <v>1</v>
      </c>
      <c r="O21" s="124">
        <v>1</v>
      </c>
      <c r="P21" s="124">
        <v>1</v>
      </c>
      <c r="Q21" s="124">
        <v>1</v>
      </c>
      <c r="R21" s="125">
        <f t="shared" si="0"/>
        <v>18</v>
      </c>
      <c r="S21" s="126">
        <f t="shared" si="1"/>
        <v>1</v>
      </c>
    </row>
    <row r="22" spans="1:19" x14ac:dyDescent="0.25">
      <c r="A22" s="123" t="str">
        <f>(IF(Info!$B19&lt;&gt;"",Info!$B19,""))</f>
        <v>Miguel Tejada</v>
      </c>
      <c r="B22" s="124">
        <v>0</v>
      </c>
      <c r="C22" s="124">
        <v>1</v>
      </c>
      <c r="D22" s="124">
        <v>1</v>
      </c>
      <c r="E22" s="124">
        <v>1</v>
      </c>
      <c r="F22" s="124">
        <v>1</v>
      </c>
      <c r="G22" s="124">
        <v>1</v>
      </c>
      <c r="H22" s="124">
        <v>3</v>
      </c>
      <c r="I22" s="124">
        <v>1</v>
      </c>
      <c r="J22" s="124">
        <v>1</v>
      </c>
      <c r="K22" s="124">
        <v>1</v>
      </c>
      <c r="L22" s="124">
        <v>1</v>
      </c>
      <c r="M22" s="124">
        <v>0</v>
      </c>
      <c r="N22" s="124">
        <v>1</v>
      </c>
      <c r="O22" s="124">
        <v>1</v>
      </c>
      <c r="P22" s="124">
        <v>1</v>
      </c>
      <c r="Q22" s="124">
        <v>1</v>
      </c>
      <c r="R22" s="125">
        <f t="shared" si="0"/>
        <v>16</v>
      </c>
      <c r="S22" s="126">
        <f t="shared" si="1"/>
        <v>0.88888888888888884</v>
      </c>
    </row>
    <row r="23" spans="1:19" x14ac:dyDescent="0.25">
      <c r="A23" s="123" t="str">
        <f>(IF(Info!$B20&lt;&gt;"",Info!$B20,""))</f>
        <v>Adam Jones</v>
      </c>
      <c r="B23" s="124">
        <v>1</v>
      </c>
      <c r="C23" s="124">
        <v>1</v>
      </c>
      <c r="D23" s="124">
        <v>1</v>
      </c>
      <c r="E23" s="124">
        <v>1</v>
      </c>
      <c r="F23" s="124">
        <v>1</v>
      </c>
      <c r="G23" s="124">
        <v>1</v>
      </c>
      <c r="H23" s="124">
        <v>3</v>
      </c>
      <c r="I23" s="124">
        <v>1</v>
      </c>
      <c r="J23" s="124">
        <v>1</v>
      </c>
      <c r="K23" s="124">
        <v>1</v>
      </c>
      <c r="L23" s="124">
        <v>1</v>
      </c>
      <c r="M23" s="124">
        <v>1</v>
      </c>
      <c r="N23" s="124">
        <v>1</v>
      </c>
      <c r="O23" s="124">
        <v>1</v>
      </c>
      <c r="P23" s="124">
        <v>1</v>
      </c>
      <c r="Q23" s="124">
        <v>1</v>
      </c>
      <c r="R23" s="125">
        <f t="shared" si="0"/>
        <v>18</v>
      </c>
      <c r="S23" s="126">
        <f t="shared" si="1"/>
        <v>1</v>
      </c>
    </row>
    <row r="24" spans="1:19" x14ac:dyDescent="0.25">
      <c r="A24" s="123" t="str">
        <f>(IF(Info!$B21&lt;&gt;"",Info!$B21,""))</f>
        <v/>
      </c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5" t="str">
        <f t="shared" si="0"/>
        <v/>
      </c>
      <c r="S24" s="126" t="str">
        <f t="shared" si="1"/>
        <v/>
      </c>
    </row>
    <row r="25" spans="1:19" x14ac:dyDescent="0.25">
      <c r="A25" s="123" t="str">
        <f>(IF(Info!$B22&lt;&gt;"",Info!$B22,""))</f>
        <v/>
      </c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5" t="str">
        <f t="shared" si="0"/>
        <v/>
      </c>
      <c r="S25" s="126" t="str">
        <f t="shared" si="1"/>
        <v/>
      </c>
    </row>
    <row r="26" spans="1:19" x14ac:dyDescent="0.25">
      <c r="A26" s="123" t="str">
        <f>(IF(Info!$B23&lt;&gt;"",Info!$B23,""))</f>
        <v/>
      </c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5" t="str">
        <f t="shared" si="0"/>
        <v/>
      </c>
      <c r="S26" s="126" t="str">
        <f t="shared" si="1"/>
        <v/>
      </c>
    </row>
    <row r="27" spans="1:19" x14ac:dyDescent="0.25">
      <c r="A27" s="123" t="str">
        <f>(IF(Info!$B24&lt;&gt;"",Info!$B24,""))</f>
        <v/>
      </c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5" t="str">
        <f t="shared" si="0"/>
        <v/>
      </c>
      <c r="S27" s="126" t="str">
        <f t="shared" si="1"/>
        <v/>
      </c>
    </row>
    <row r="28" spans="1:19" x14ac:dyDescent="0.25">
      <c r="A28" s="123" t="str">
        <f>(IF(Info!$B25&lt;&gt;"",Info!$B25,""))</f>
        <v/>
      </c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5" t="str">
        <f t="shared" si="0"/>
        <v/>
      </c>
      <c r="S28" s="126" t="str">
        <f t="shared" si="1"/>
        <v/>
      </c>
    </row>
    <row r="29" spans="1:19" x14ac:dyDescent="0.25">
      <c r="A29" s="123" t="str">
        <f>(IF(Info!$B26&lt;&gt;"",Info!$B26,""))</f>
        <v/>
      </c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5" t="str">
        <f t="shared" si="0"/>
        <v/>
      </c>
      <c r="S29" s="126" t="str">
        <f t="shared" si="1"/>
        <v/>
      </c>
    </row>
    <row r="30" spans="1:19" x14ac:dyDescent="0.25">
      <c r="A30" s="123" t="str">
        <f>(IF(Info!$B27&lt;&gt;"",Info!$B27,""))</f>
        <v/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5" t="str">
        <f t="shared" si="0"/>
        <v/>
      </c>
      <c r="S30" s="126" t="str">
        <f t="shared" si="1"/>
        <v/>
      </c>
    </row>
    <row r="31" spans="1:19" x14ac:dyDescent="0.25">
      <c r="A31" s="123" t="str">
        <f>(IF(Info!$B28&lt;&gt;"",Info!$B28,""))</f>
        <v/>
      </c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5" t="str">
        <f t="shared" si="0"/>
        <v/>
      </c>
      <c r="S31" s="126" t="str">
        <f t="shared" si="1"/>
        <v/>
      </c>
    </row>
    <row r="32" spans="1:19" x14ac:dyDescent="0.25">
      <c r="A32" s="123" t="str">
        <f>(IF(Info!$B29&lt;&gt;"",Info!$B29,""))</f>
        <v/>
      </c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5" t="str">
        <f t="shared" si="0"/>
        <v/>
      </c>
      <c r="S32" s="126" t="str">
        <f t="shared" si="1"/>
        <v/>
      </c>
    </row>
    <row r="33" spans="1:19" x14ac:dyDescent="0.25">
      <c r="A33" s="123" t="str">
        <f>(IF(Info!$B30&lt;&gt;"",Info!$B30,""))</f>
        <v/>
      </c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5" t="str">
        <f t="shared" si="0"/>
        <v/>
      </c>
      <c r="S33" s="126" t="str">
        <f t="shared" si="1"/>
        <v/>
      </c>
    </row>
    <row r="34" spans="1:19" x14ac:dyDescent="0.25">
      <c r="A34" s="123" t="str">
        <f>(IF(Info!$B31&lt;&gt;"",Info!$B31,""))</f>
        <v/>
      </c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5" t="str">
        <f t="shared" si="0"/>
        <v/>
      </c>
      <c r="S34" s="126" t="str">
        <f t="shared" si="1"/>
        <v/>
      </c>
    </row>
    <row r="35" spans="1:19" x14ac:dyDescent="0.25">
      <c r="A35" s="123" t="str">
        <f>(IF(Info!$B32&lt;&gt;"",Info!$B32,""))</f>
        <v/>
      </c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5" t="str">
        <f t="shared" si="0"/>
        <v/>
      </c>
      <c r="S35" s="126" t="str">
        <f t="shared" si="1"/>
        <v/>
      </c>
    </row>
    <row r="36" spans="1:19" x14ac:dyDescent="0.25">
      <c r="A36" s="123" t="str">
        <f>(IF(Info!$B33&lt;&gt;"",Info!$B33,""))</f>
        <v/>
      </c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5" t="str">
        <f t="shared" si="0"/>
        <v/>
      </c>
      <c r="S36" s="126" t="str">
        <f t="shared" si="1"/>
        <v/>
      </c>
    </row>
    <row r="37" spans="1:19" x14ac:dyDescent="0.25">
      <c r="A37" s="123" t="str">
        <f>(IF(Info!$B34&lt;&gt;"",Info!$B34,""))</f>
        <v/>
      </c>
      <c r="B37" s="124"/>
      <c r="C37" s="124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5" t="str">
        <f t="shared" si="0"/>
        <v/>
      </c>
      <c r="S37" s="126" t="str">
        <f t="shared" si="1"/>
        <v/>
      </c>
    </row>
    <row r="38" spans="1:19" x14ac:dyDescent="0.25">
      <c r="A38" s="123" t="str">
        <f>(IF(Info!$B35&lt;&gt;"",Info!$B35,""))</f>
        <v/>
      </c>
      <c r="B38" s="124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5" t="str">
        <f t="shared" si="0"/>
        <v/>
      </c>
      <c r="S38" s="126" t="str">
        <f t="shared" si="1"/>
        <v/>
      </c>
    </row>
    <row r="39" spans="1:19" x14ac:dyDescent="0.25">
      <c r="A39" s="123" t="str">
        <f>(IF(Info!$B36&lt;&gt;"",Info!$B36,""))</f>
        <v/>
      </c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5" t="str">
        <f t="shared" si="0"/>
        <v/>
      </c>
      <c r="S39" s="126" t="str">
        <f t="shared" si="1"/>
        <v/>
      </c>
    </row>
    <row r="40" spans="1:19" x14ac:dyDescent="0.25">
      <c r="A40" s="123" t="str">
        <f>(IF(Info!$B37&lt;&gt;"",Info!$B37,""))</f>
        <v/>
      </c>
      <c r="B40" s="124"/>
      <c r="C40" s="124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5" t="str">
        <f t="shared" si="0"/>
        <v/>
      </c>
      <c r="S40" s="126" t="str">
        <f t="shared" si="1"/>
        <v/>
      </c>
    </row>
    <row r="41" spans="1:19" x14ac:dyDescent="0.25">
      <c r="A41" s="123" t="str">
        <f>(IF(Info!$B38&lt;&gt;"",Info!$B38,""))</f>
        <v/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5" t="str">
        <f t="shared" si="0"/>
        <v/>
      </c>
      <c r="S41" s="126" t="str">
        <f t="shared" si="1"/>
        <v/>
      </c>
    </row>
    <row r="42" spans="1:19" x14ac:dyDescent="0.25">
      <c r="A42" s="123" t="str">
        <f>(IF(Info!$B39&lt;&gt;"",Info!$B39,""))</f>
        <v/>
      </c>
      <c r="B42" s="124"/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5" t="str">
        <f t="shared" si="0"/>
        <v/>
      </c>
      <c r="S42" s="126" t="str">
        <f t="shared" si="1"/>
        <v/>
      </c>
    </row>
    <row r="43" spans="1:19" x14ac:dyDescent="0.25">
      <c r="A43" s="123" t="str">
        <f>(IF(Info!$B40&lt;&gt;"",Info!$B40,""))</f>
        <v/>
      </c>
      <c r="B43" s="124"/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5" t="str">
        <f t="shared" si="0"/>
        <v/>
      </c>
      <c r="S43" s="126" t="str">
        <f t="shared" si="1"/>
        <v/>
      </c>
    </row>
    <row r="44" spans="1:19" x14ac:dyDescent="0.25">
      <c r="A44" s="123" t="str">
        <f>(IF(Info!$B41&lt;&gt;"",Info!$B41,""))</f>
        <v/>
      </c>
      <c r="B44" s="124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5" t="str">
        <f t="shared" si="0"/>
        <v/>
      </c>
      <c r="S44" s="126" t="str">
        <f t="shared" si="1"/>
        <v/>
      </c>
    </row>
    <row r="45" spans="1:19" x14ac:dyDescent="0.25">
      <c r="A45" s="123" t="str">
        <f>(IF(Info!$B42&lt;&gt;"",Info!$B42,""))</f>
        <v/>
      </c>
      <c r="B45" s="124"/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5" t="str">
        <f t="shared" si="0"/>
        <v/>
      </c>
      <c r="S45" s="126" t="str">
        <f t="shared" si="1"/>
        <v/>
      </c>
    </row>
    <row r="46" spans="1:19" x14ac:dyDescent="0.25">
      <c r="A46" s="123" t="str">
        <f>(IF(Info!$B43&lt;&gt;"",Info!$B43,""))</f>
        <v/>
      </c>
      <c r="B46" s="124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5" t="str">
        <f t="shared" si="0"/>
        <v/>
      </c>
      <c r="S46" s="126" t="str">
        <f t="shared" si="1"/>
        <v/>
      </c>
    </row>
    <row r="47" spans="1:19" x14ac:dyDescent="0.25">
      <c r="A47" s="123" t="str">
        <f>(IF(Info!$B44&lt;&gt;"",Info!$B44,""))</f>
        <v/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5" t="str">
        <f t="shared" si="0"/>
        <v/>
      </c>
      <c r="S47" s="126" t="str">
        <f t="shared" si="1"/>
        <v/>
      </c>
    </row>
    <row r="48" spans="1:19" x14ac:dyDescent="0.25">
      <c r="A48" s="123" t="str">
        <f>(IF(Info!$B45&lt;&gt;"",Info!$B45,""))</f>
        <v/>
      </c>
      <c r="B48" s="124"/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5" t="str">
        <f t="shared" si="0"/>
        <v/>
      </c>
      <c r="S48" s="126" t="str">
        <f t="shared" si="1"/>
        <v/>
      </c>
    </row>
    <row r="49" spans="1:19" x14ac:dyDescent="0.25">
      <c r="A49" s="123" t="str">
        <f>(IF(Info!$B46&lt;&gt;"",Info!$B46,""))</f>
        <v/>
      </c>
      <c r="B49" s="124"/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5" t="str">
        <f t="shared" si="0"/>
        <v/>
      </c>
      <c r="S49" s="126" t="str">
        <f t="shared" si="1"/>
        <v/>
      </c>
    </row>
    <row r="50" spans="1:19" x14ac:dyDescent="0.25">
      <c r="A50" s="123" t="str">
        <f>(IF(Info!$B47&lt;&gt;"",Info!$B47,""))</f>
        <v/>
      </c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5" t="str">
        <f t="shared" si="0"/>
        <v/>
      </c>
      <c r="S50" s="126" t="str">
        <f t="shared" si="1"/>
        <v/>
      </c>
    </row>
    <row r="51" spans="1:19" x14ac:dyDescent="0.25">
      <c r="A51" s="123" t="str">
        <f>(IF(Info!$B48&lt;&gt;"",Info!$B48,""))</f>
        <v/>
      </c>
      <c r="B51" s="124"/>
      <c r="C51" s="124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5" t="str">
        <f t="shared" si="0"/>
        <v/>
      </c>
      <c r="S51" s="126" t="str">
        <f t="shared" si="1"/>
        <v/>
      </c>
    </row>
    <row r="52" spans="1:19" x14ac:dyDescent="0.25">
      <c r="A52" s="127"/>
      <c r="D52" s="127"/>
    </row>
    <row r="53" spans="1:19" x14ac:dyDescent="0.25">
      <c r="A53" s="127"/>
    </row>
    <row r="54" spans="1:19" x14ac:dyDescent="0.25">
      <c r="A54" s="127"/>
    </row>
    <row r="55" spans="1:19" x14ac:dyDescent="0.25">
      <c r="A55" s="127"/>
    </row>
    <row r="56" spans="1:19" x14ac:dyDescent="0.25">
      <c r="A56" s="127"/>
    </row>
    <row r="57" spans="1:19" x14ac:dyDescent="0.25">
      <c r="A57" s="127"/>
    </row>
    <row r="58" spans="1:19" x14ac:dyDescent="0.25">
      <c r="A58" s="127"/>
    </row>
    <row r="59" spans="1:19" x14ac:dyDescent="0.25">
      <c r="A59" s="127"/>
    </row>
    <row r="60" spans="1:19" x14ac:dyDescent="0.25">
      <c r="A60" s="127"/>
    </row>
    <row r="61" spans="1:19" x14ac:dyDescent="0.25">
      <c r="A61" s="127"/>
    </row>
    <row r="62" spans="1:19" x14ac:dyDescent="0.25">
      <c r="A62" s="127"/>
    </row>
    <row r="63" spans="1:19" x14ac:dyDescent="0.25">
      <c r="A63" s="127"/>
    </row>
    <row r="64" spans="1:19" x14ac:dyDescent="0.25">
      <c r="A64" s="127"/>
    </row>
    <row r="65" spans="1:1" x14ac:dyDescent="0.25">
      <c r="A65" s="127"/>
    </row>
    <row r="66" spans="1:1" x14ac:dyDescent="0.25">
      <c r="A66" s="127"/>
    </row>
    <row r="67" spans="1:1" x14ac:dyDescent="0.25">
      <c r="A67" s="127"/>
    </row>
    <row r="68" spans="1:1" x14ac:dyDescent="0.25">
      <c r="A68" s="127"/>
    </row>
    <row r="69" spans="1:1" x14ac:dyDescent="0.25">
      <c r="A69" s="127"/>
    </row>
    <row r="70" spans="1:1" x14ac:dyDescent="0.25">
      <c r="A70" s="127"/>
    </row>
    <row r="71" spans="1:1" x14ac:dyDescent="0.25">
      <c r="A71" s="127"/>
    </row>
    <row r="72" spans="1:1" x14ac:dyDescent="0.25">
      <c r="A72" s="127"/>
    </row>
    <row r="73" spans="1:1" x14ac:dyDescent="0.25">
      <c r="A73" s="127"/>
    </row>
    <row r="74" spans="1:1" x14ac:dyDescent="0.25">
      <c r="A74" s="127"/>
    </row>
    <row r="75" spans="1:1" x14ac:dyDescent="0.25">
      <c r="A75" s="127"/>
    </row>
    <row r="76" spans="1:1" x14ac:dyDescent="0.25">
      <c r="A76" s="127"/>
    </row>
    <row r="77" spans="1:1" x14ac:dyDescent="0.25">
      <c r="A77" s="127"/>
    </row>
    <row r="78" spans="1:1" x14ac:dyDescent="0.25">
      <c r="A78" s="127"/>
    </row>
    <row r="79" spans="1:1" x14ac:dyDescent="0.25">
      <c r="A79" s="127"/>
    </row>
    <row r="80" spans="1:1" x14ac:dyDescent="0.25">
      <c r="A80" s="127"/>
    </row>
    <row r="81" spans="1:1" x14ac:dyDescent="0.25">
      <c r="A81" s="127"/>
    </row>
    <row r="82" spans="1:1" x14ac:dyDescent="0.25">
      <c r="A82" s="127"/>
    </row>
    <row r="83" spans="1:1" x14ac:dyDescent="0.25">
      <c r="A83" s="127"/>
    </row>
    <row r="84" spans="1:1" x14ac:dyDescent="0.25">
      <c r="A84" s="127"/>
    </row>
    <row r="85" spans="1:1" x14ac:dyDescent="0.25">
      <c r="A85" s="127"/>
    </row>
    <row r="86" spans="1:1" x14ac:dyDescent="0.25">
      <c r="A86" s="127"/>
    </row>
    <row r="87" spans="1:1" x14ac:dyDescent="0.25">
      <c r="A87" s="127"/>
    </row>
    <row r="88" spans="1:1" x14ac:dyDescent="0.25">
      <c r="A88" s="127"/>
    </row>
    <row r="89" spans="1:1" x14ac:dyDescent="0.25">
      <c r="A89" s="127"/>
    </row>
    <row r="90" spans="1:1" x14ac:dyDescent="0.25">
      <c r="A90" s="127"/>
    </row>
    <row r="91" spans="1:1" x14ac:dyDescent="0.25">
      <c r="A91" s="127"/>
    </row>
    <row r="92" spans="1:1" x14ac:dyDescent="0.25">
      <c r="A92" s="127"/>
    </row>
    <row r="93" spans="1:1" x14ac:dyDescent="0.25">
      <c r="A93" s="127"/>
    </row>
    <row r="94" spans="1:1" x14ac:dyDescent="0.25">
      <c r="A94" s="127"/>
    </row>
    <row r="95" spans="1:1" x14ac:dyDescent="0.25">
      <c r="A95" s="127"/>
    </row>
    <row r="96" spans="1:1" x14ac:dyDescent="0.25">
      <c r="A96" s="127"/>
    </row>
    <row r="97" spans="1:1" x14ac:dyDescent="0.25">
      <c r="A97" s="127"/>
    </row>
    <row r="98" spans="1:1" x14ac:dyDescent="0.25">
      <c r="A98" s="127"/>
    </row>
    <row r="99" spans="1:1" x14ac:dyDescent="0.25">
      <c r="A99" s="127"/>
    </row>
    <row r="100" spans="1:1" x14ac:dyDescent="0.25">
      <c r="A100" s="127"/>
    </row>
    <row r="101" spans="1:1" x14ac:dyDescent="0.25">
      <c r="A101" s="127"/>
    </row>
    <row r="102" spans="1:1" x14ac:dyDescent="0.25">
      <c r="A102" s="127"/>
    </row>
    <row r="103" spans="1:1" x14ac:dyDescent="0.25">
      <c r="A103" s="127"/>
    </row>
    <row r="104" spans="1:1" x14ac:dyDescent="0.25">
      <c r="A104" s="127"/>
    </row>
    <row r="105" spans="1:1" x14ac:dyDescent="0.25">
      <c r="A105" s="127"/>
    </row>
    <row r="106" spans="1:1" x14ac:dyDescent="0.25">
      <c r="A106" s="127"/>
    </row>
    <row r="107" spans="1:1" x14ac:dyDescent="0.25">
      <c r="A107" s="127"/>
    </row>
    <row r="108" spans="1:1" x14ac:dyDescent="0.25">
      <c r="A108" s="127"/>
    </row>
    <row r="109" spans="1:1" x14ac:dyDescent="0.25">
      <c r="A109" s="127"/>
    </row>
    <row r="110" spans="1:1" x14ac:dyDescent="0.25">
      <c r="A110" s="127"/>
    </row>
    <row r="111" spans="1:1" x14ac:dyDescent="0.25">
      <c r="A111" s="127"/>
    </row>
    <row r="112" spans="1:1" x14ac:dyDescent="0.25">
      <c r="A112" s="127"/>
    </row>
    <row r="113" spans="1:1" x14ac:dyDescent="0.25">
      <c r="A113" s="127"/>
    </row>
    <row r="114" spans="1:1" x14ac:dyDescent="0.25">
      <c r="A114" s="127"/>
    </row>
    <row r="115" spans="1:1" x14ac:dyDescent="0.25">
      <c r="A115" s="127"/>
    </row>
    <row r="116" spans="1:1" x14ac:dyDescent="0.25">
      <c r="A116" s="127"/>
    </row>
    <row r="117" spans="1:1" x14ac:dyDescent="0.25">
      <c r="A117" s="127"/>
    </row>
    <row r="118" spans="1:1" x14ac:dyDescent="0.25">
      <c r="A118" s="127"/>
    </row>
    <row r="119" spans="1:1" x14ac:dyDescent="0.25">
      <c r="A119" s="127"/>
    </row>
    <row r="120" spans="1:1" x14ac:dyDescent="0.25">
      <c r="A120" s="127"/>
    </row>
    <row r="121" spans="1:1" x14ac:dyDescent="0.25">
      <c r="A121" s="127"/>
    </row>
    <row r="122" spans="1:1" x14ac:dyDescent="0.25">
      <c r="A122" s="127"/>
    </row>
    <row r="123" spans="1:1" x14ac:dyDescent="0.25">
      <c r="A123" s="127"/>
    </row>
    <row r="124" spans="1:1" x14ac:dyDescent="0.25">
      <c r="A124" s="127"/>
    </row>
    <row r="125" spans="1:1" x14ac:dyDescent="0.25">
      <c r="A125" s="127"/>
    </row>
    <row r="126" spans="1:1" x14ac:dyDescent="0.25">
      <c r="A126" s="127"/>
    </row>
    <row r="127" spans="1:1" x14ac:dyDescent="0.25">
      <c r="A127" s="127"/>
    </row>
    <row r="128" spans="1:1" x14ac:dyDescent="0.25">
      <c r="A128" s="127"/>
    </row>
    <row r="129" spans="1:1" x14ac:dyDescent="0.25">
      <c r="A129" s="127"/>
    </row>
    <row r="130" spans="1:1" x14ac:dyDescent="0.25">
      <c r="A130" s="127"/>
    </row>
    <row r="131" spans="1:1" x14ac:dyDescent="0.25">
      <c r="A131" s="127"/>
    </row>
    <row r="132" spans="1:1" x14ac:dyDescent="0.25">
      <c r="A132" s="127"/>
    </row>
    <row r="133" spans="1:1" x14ac:dyDescent="0.25">
      <c r="A133" s="127"/>
    </row>
    <row r="134" spans="1:1" x14ac:dyDescent="0.25">
      <c r="A134" s="127"/>
    </row>
    <row r="135" spans="1:1" x14ac:dyDescent="0.25">
      <c r="A135" s="127"/>
    </row>
    <row r="136" spans="1:1" x14ac:dyDescent="0.25">
      <c r="A136" s="127"/>
    </row>
    <row r="137" spans="1:1" x14ac:dyDescent="0.25">
      <c r="A137" s="127"/>
    </row>
    <row r="138" spans="1:1" x14ac:dyDescent="0.25">
      <c r="A138" s="127"/>
    </row>
    <row r="139" spans="1:1" x14ac:dyDescent="0.25">
      <c r="A139" s="127"/>
    </row>
    <row r="140" spans="1:1" x14ac:dyDescent="0.25">
      <c r="A140" s="127"/>
    </row>
    <row r="141" spans="1:1" x14ac:dyDescent="0.25">
      <c r="A141" s="127"/>
    </row>
    <row r="142" spans="1:1" x14ac:dyDescent="0.25">
      <c r="A142" s="127"/>
    </row>
    <row r="143" spans="1:1" x14ac:dyDescent="0.25">
      <c r="A143" s="127"/>
    </row>
    <row r="144" spans="1:1" x14ac:dyDescent="0.25">
      <c r="A144" s="127"/>
    </row>
    <row r="145" spans="1:1" x14ac:dyDescent="0.25">
      <c r="A145" s="127"/>
    </row>
    <row r="146" spans="1:1" x14ac:dyDescent="0.25">
      <c r="A146" s="127"/>
    </row>
    <row r="147" spans="1:1" x14ac:dyDescent="0.25">
      <c r="A147" s="127"/>
    </row>
    <row r="148" spans="1:1" x14ac:dyDescent="0.25">
      <c r="A148" s="127"/>
    </row>
    <row r="149" spans="1:1" x14ac:dyDescent="0.25">
      <c r="A149" s="127"/>
    </row>
    <row r="150" spans="1:1" x14ac:dyDescent="0.25">
      <c r="A150" s="127"/>
    </row>
    <row r="151" spans="1:1" x14ac:dyDescent="0.25">
      <c r="A151" s="127"/>
    </row>
    <row r="152" spans="1:1" x14ac:dyDescent="0.25">
      <c r="A152" s="127"/>
    </row>
    <row r="153" spans="1:1" x14ac:dyDescent="0.25">
      <c r="A153" s="127"/>
    </row>
    <row r="154" spans="1:1" x14ac:dyDescent="0.25">
      <c r="A154" s="127"/>
    </row>
    <row r="155" spans="1:1" x14ac:dyDescent="0.25">
      <c r="A155" s="127"/>
    </row>
    <row r="156" spans="1:1" x14ac:dyDescent="0.25">
      <c r="A156" s="127"/>
    </row>
    <row r="157" spans="1:1" x14ac:dyDescent="0.25">
      <c r="A157" s="127"/>
    </row>
    <row r="158" spans="1:1" x14ac:dyDescent="0.25">
      <c r="A158" s="127"/>
    </row>
    <row r="159" spans="1:1" x14ac:dyDescent="0.25">
      <c r="A159" s="127"/>
    </row>
    <row r="160" spans="1:1" x14ac:dyDescent="0.25">
      <c r="A160" s="127"/>
    </row>
    <row r="161" spans="1:1" x14ac:dyDescent="0.25">
      <c r="A161" s="127"/>
    </row>
    <row r="162" spans="1:1" x14ac:dyDescent="0.25">
      <c r="A162" s="127"/>
    </row>
    <row r="163" spans="1:1" x14ac:dyDescent="0.25">
      <c r="A163" s="127"/>
    </row>
    <row r="164" spans="1:1" x14ac:dyDescent="0.25">
      <c r="A164" s="127"/>
    </row>
    <row r="165" spans="1:1" x14ac:dyDescent="0.25">
      <c r="A165" s="127"/>
    </row>
    <row r="166" spans="1:1" x14ac:dyDescent="0.25">
      <c r="A166" s="127"/>
    </row>
    <row r="167" spans="1:1" x14ac:dyDescent="0.25">
      <c r="A167" s="127"/>
    </row>
    <row r="168" spans="1:1" x14ac:dyDescent="0.25">
      <c r="A168" s="127"/>
    </row>
    <row r="169" spans="1:1" x14ac:dyDescent="0.25">
      <c r="A169" s="127"/>
    </row>
    <row r="170" spans="1:1" x14ac:dyDescent="0.25">
      <c r="A170" s="127"/>
    </row>
    <row r="171" spans="1:1" x14ac:dyDescent="0.25">
      <c r="A171" s="127"/>
    </row>
    <row r="172" spans="1:1" x14ac:dyDescent="0.25">
      <c r="A172" s="127"/>
    </row>
    <row r="173" spans="1:1" x14ac:dyDescent="0.25">
      <c r="A173" s="127"/>
    </row>
    <row r="174" spans="1:1" x14ac:dyDescent="0.25">
      <c r="A174" s="127"/>
    </row>
    <row r="175" spans="1:1" x14ac:dyDescent="0.25">
      <c r="A175" s="127"/>
    </row>
    <row r="176" spans="1:1" x14ac:dyDescent="0.25">
      <c r="A176" s="127"/>
    </row>
    <row r="177" spans="1:1" x14ac:dyDescent="0.25">
      <c r="A177" s="127"/>
    </row>
    <row r="178" spans="1:1" x14ac:dyDescent="0.25">
      <c r="A178" s="127"/>
    </row>
    <row r="179" spans="1:1" x14ac:dyDescent="0.25">
      <c r="A179" s="127"/>
    </row>
    <row r="180" spans="1:1" x14ac:dyDescent="0.25">
      <c r="A180" s="127"/>
    </row>
    <row r="181" spans="1:1" x14ac:dyDescent="0.25">
      <c r="A181" s="127"/>
    </row>
    <row r="182" spans="1:1" x14ac:dyDescent="0.25">
      <c r="A182" s="127"/>
    </row>
    <row r="183" spans="1:1" x14ac:dyDescent="0.25">
      <c r="A183" s="127"/>
    </row>
    <row r="184" spans="1:1" x14ac:dyDescent="0.25">
      <c r="A184" s="127"/>
    </row>
    <row r="185" spans="1:1" x14ac:dyDescent="0.25">
      <c r="A185" s="127"/>
    </row>
    <row r="186" spans="1:1" x14ac:dyDescent="0.25">
      <c r="A186" s="127"/>
    </row>
    <row r="187" spans="1:1" x14ac:dyDescent="0.25">
      <c r="A187" s="127"/>
    </row>
    <row r="188" spans="1:1" x14ac:dyDescent="0.25">
      <c r="A188" s="127"/>
    </row>
    <row r="189" spans="1:1" x14ac:dyDescent="0.25">
      <c r="A189" s="127"/>
    </row>
    <row r="190" spans="1:1" x14ac:dyDescent="0.25">
      <c r="A190" s="127"/>
    </row>
    <row r="191" spans="1:1" x14ac:dyDescent="0.25">
      <c r="A191" s="127"/>
    </row>
    <row r="192" spans="1:1" x14ac:dyDescent="0.25">
      <c r="A192" s="127"/>
    </row>
    <row r="193" spans="1:1" x14ac:dyDescent="0.25">
      <c r="A193" s="127"/>
    </row>
    <row r="194" spans="1:1" x14ac:dyDescent="0.25">
      <c r="A194" s="127"/>
    </row>
    <row r="195" spans="1:1" x14ac:dyDescent="0.25">
      <c r="A195" s="127"/>
    </row>
    <row r="196" spans="1:1" x14ac:dyDescent="0.25">
      <c r="A196" s="127"/>
    </row>
    <row r="197" spans="1:1" x14ac:dyDescent="0.25">
      <c r="A197" s="127"/>
    </row>
    <row r="198" spans="1:1" x14ac:dyDescent="0.25">
      <c r="A198" s="127"/>
    </row>
    <row r="199" spans="1:1" x14ac:dyDescent="0.25">
      <c r="A199" s="127"/>
    </row>
    <row r="200" spans="1:1" x14ac:dyDescent="0.25">
      <c r="A200" s="127"/>
    </row>
    <row r="201" spans="1:1" x14ac:dyDescent="0.25">
      <c r="A201" s="127"/>
    </row>
    <row r="202" spans="1:1" x14ac:dyDescent="0.25">
      <c r="A202" s="127"/>
    </row>
    <row r="203" spans="1:1" x14ac:dyDescent="0.25">
      <c r="A203" s="127"/>
    </row>
    <row r="204" spans="1:1" x14ac:dyDescent="0.25">
      <c r="A204" s="127"/>
    </row>
    <row r="205" spans="1:1" x14ac:dyDescent="0.25">
      <c r="A205" s="127"/>
    </row>
    <row r="206" spans="1:1" x14ac:dyDescent="0.25">
      <c r="A206" s="127"/>
    </row>
    <row r="207" spans="1:1" x14ac:dyDescent="0.25">
      <c r="A207" s="127"/>
    </row>
    <row r="208" spans="1:1" x14ac:dyDescent="0.25">
      <c r="A208" s="127"/>
    </row>
    <row r="209" spans="1:1" x14ac:dyDescent="0.25">
      <c r="A209" s="127"/>
    </row>
    <row r="210" spans="1:1" x14ac:dyDescent="0.25">
      <c r="A210" s="127"/>
    </row>
    <row r="211" spans="1:1" x14ac:dyDescent="0.25">
      <c r="A211" s="127"/>
    </row>
    <row r="212" spans="1:1" x14ac:dyDescent="0.25">
      <c r="A212" s="127"/>
    </row>
    <row r="213" spans="1:1" x14ac:dyDescent="0.25">
      <c r="A213" s="127"/>
    </row>
    <row r="214" spans="1:1" x14ac:dyDescent="0.25">
      <c r="A214" s="127"/>
    </row>
    <row r="215" spans="1:1" x14ac:dyDescent="0.25">
      <c r="A215" s="127"/>
    </row>
    <row r="216" spans="1:1" x14ac:dyDescent="0.25">
      <c r="A216" s="127"/>
    </row>
    <row r="217" spans="1:1" x14ac:dyDescent="0.25">
      <c r="A217" s="127"/>
    </row>
    <row r="218" spans="1:1" x14ac:dyDescent="0.25">
      <c r="A218" s="127"/>
    </row>
    <row r="219" spans="1:1" x14ac:dyDescent="0.25">
      <c r="A219" s="127"/>
    </row>
    <row r="220" spans="1:1" x14ac:dyDescent="0.25">
      <c r="A220" s="127"/>
    </row>
    <row r="221" spans="1:1" x14ac:dyDescent="0.25">
      <c r="A221" s="127"/>
    </row>
    <row r="222" spans="1:1" x14ac:dyDescent="0.25">
      <c r="A222" s="127"/>
    </row>
    <row r="223" spans="1:1" x14ac:dyDescent="0.25">
      <c r="A223" s="127"/>
    </row>
    <row r="224" spans="1:1" x14ac:dyDescent="0.25">
      <c r="A224" s="127"/>
    </row>
    <row r="225" spans="1:1" x14ac:dyDescent="0.25">
      <c r="A225" s="127"/>
    </row>
    <row r="226" spans="1:1" x14ac:dyDescent="0.25">
      <c r="A226" s="127"/>
    </row>
    <row r="227" spans="1:1" x14ac:dyDescent="0.25">
      <c r="A227" s="127"/>
    </row>
    <row r="228" spans="1:1" x14ac:dyDescent="0.25">
      <c r="A228" s="127"/>
    </row>
    <row r="229" spans="1:1" x14ac:dyDescent="0.25">
      <c r="A229" s="127"/>
    </row>
    <row r="230" spans="1:1" x14ac:dyDescent="0.25">
      <c r="A230" s="127"/>
    </row>
    <row r="231" spans="1:1" x14ac:dyDescent="0.25">
      <c r="A231" s="127"/>
    </row>
    <row r="232" spans="1:1" x14ac:dyDescent="0.25">
      <c r="A232" s="127"/>
    </row>
    <row r="233" spans="1:1" x14ac:dyDescent="0.25">
      <c r="A233" s="127"/>
    </row>
    <row r="234" spans="1:1" x14ac:dyDescent="0.25">
      <c r="A234" s="127"/>
    </row>
    <row r="235" spans="1:1" x14ac:dyDescent="0.25">
      <c r="A235" s="127"/>
    </row>
    <row r="236" spans="1:1" x14ac:dyDescent="0.25">
      <c r="A236" s="127"/>
    </row>
    <row r="237" spans="1:1" x14ac:dyDescent="0.25">
      <c r="A237" s="127"/>
    </row>
    <row r="238" spans="1:1" x14ac:dyDescent="0.25">
      <c r="A238" s="127"/>
    </row>
    <row r="239" spans="1:1" x14ac:dyDescent="0.25">
      <c r="A239" s="127"/>
    </row>
    <row r="240" spans="1:1" x14ac:dyDescent="0.25">
      <c r="A240" s="127"/>
    </row>
    <row r="241" spans="1:1" x14ac:dyDescent="0.25">
      <c r="A241" s="127"/>
    </row>
    <row r="242" spans="1:1" x14ac:dyDescent="0.25">
      <c r="A242" s="127"/>
    </row>
    <row r="243" spans="1:1" x14ac:dyDescent="0.25">
      <c r="A243" s="127"/>
    </row>
    <row r="244" spans="1:1" x14ac:dyDescent="0.25">
      <c r="A244" s="127"/>
    </row>
    <row r="245" spans="1:1" x14ac:dyDescent="0.25">
      <c r="A245" s="127"/>
    </row>
    <row r="246" spans="1:1" x14ac:dyDescent="0.25">
      <c r="A246" s="127"/>
    </row>
    <row r="247" spans="1:1" x14ac:dyDescent="0.25">
      <c r="A247" s="127"/>
    </row>
    <row r="248" spans="1:1" x14ac:dyDescent="0.25">
      <c r="A248" s="127"/>
    </row>
    <row r="249" spans="1:1" x14ac:dyDescent="0.25">
      <c r="A249" s="127"/>
    </row>
    <row r="250" spans="1:1" x14ac:dyDescent="0.25">
      <c r="A250" s="127"/>
    </row>
    <row r="251" spans="1:1" x14ac:dyDescent="0.25">
      <c r="A251" s="127"/>
    </row>
    <row r="252" spans="1:1" x14ac:dyDescent="0.25">
      <c r="A252" s="127"/>
    </row>
    <row r="253" spans="1:1" x14ac:dyDescent="0.25">
      <c r="A253" s="127"/>
    </row>
    <row r="254" spans="1:1" x14ac:dyDescent="0.25">
      <c r="A254" s="127"/>
    </row>
    <row r="255" spans="1:1" x14ac:dyDescent="0.25">
      <c r="A255" s="127"/>
    </row>
    <row r="256" spans="1:1" x14ac:dyDescent="0.25">
      <c r="A256" s="127"/>
    </row>
    <row r="257" spans="1:1" x14ac:dyDescent="0.25">
      <c r="A257" s="127"/>
    </row>
    <row r="258" spans="1:1" x14ac:dyDescent="0.25">
      <c r="A258" s="127"/>
    </row>
    <row r="259" spans="1:1" x14ac:dyDescent="0.25">
      <c r="A259" s="127"/>
    </row>
    <row r="260" spans="1:1" x14ac:dyDescent="0.25">
      <c r="A260" s="127"/>
    </row>
    <row r="261" spans="1:1" x14ac:dyDescent="0.25">
      <c r="A261" s="127"/>
    </row>
    <row r="262" spans="1:1" x14ac:dyDescent="0.25">
      <c r="A262" s="127"/>
    </row>
    <row r="263" spans="1:1" x14ac:dyDescent="0.25">
      <c r="A263" s="127"/>
    </row>
    <row r="264" spans="1:1" x14ac:dyDescent="0.25">
      <c r="A264" s="127"/>
    </row>
    <row r="265" spans="1:1" x14ac:dyDescent="0.25">
      <c r="A265" s="127"/>
    </row>
    <row r="266" spans="1:1" x14ac:dyDescent="0.25">
      <c r="A266" s="127"/>
    </row>
    <row r="267" spans="1:1" x14ac:dyDescent="0.25">
      <c r="A267" s="127"/>
    </row>
    <row r="268" spans="1:1" x14ac:dyDescent="0.25">
      <c r="A268" s="127"/>
    </row>
    <row r="269" spans="1:1" x14ac:dyDescent="0.25">
      <c r="A269" s="127"/>
    </row>
    <row r="270" spans="1:1" x14ac:dyDescent="0.25">
      <c r="A270" s="127"/>
    </row>
    <row r="271" spans="1:1" x14ac:dyDescent="0.25">
      <c r="A271" s="127"/>
    </row>
    <row r="272" spans="1:1" x14ac:dyDescent="0.25">
      <c r="A272" s="127"/>
    </row>
    <row r="273" spans="1:1" x14ac:dyDescent="0.25">
      <c r="A273" s="127"/>
    </row>
    <row r="274" spans="1:1" x14ac:dyDescent="0.25">
      <c r="A274" s="127"/>
    </row>
    <row r="275" spans="1:1" x14ac:dyDescent="0.25">
      <c r="A275" s="127"/>
    </row>
    <row r="276" spans="1:1" x14ac:dyDescent="0.25">
      <c r="A276" s="127"/>
    </row>
    <row r="277" spans="1:1" x14ac:dyDescent="0.25">
      <c r="A277" s="127"/>
    </row>
    <row r="278" spans="1:1" x14ac:dyDescent="0.25">
      <c r="A278" s="127"/>
    </row>
    <row r="279" spans="1:1" x14ac:dyDescent="0.25">
      <c r="A279" s="127"/>
    </row>
    <row r="280" spans="1:1" x14ac:dyDescent="0.25">
      <c r="A280" s="127"/>
    </row>
    <row r="281" spans="1:1" x14ac:dyDescent="0.25">
      <c r="A281" s="127"/>
    </row>
    <row r="282" spans="1:1" x14ac:dyDescent="0.25">
      <c r="A282" s="127"/>
    </row>
    <row r="283" spans="1:1" x14ac:dyDescent="0.25">
      <c r="A283" s="127"/>
    </row>
    <row r="284" spans="1:1" x14ac:dyDescent="0.25">
      <c r="A284" s="127"/>
    </row>
    <row r="285" spans="1:1" x14ac:dyDescent="0.25">
      <c r="A285" s="127"/>
    </row>
    <row r="286" spans="1:1" x14ac:dyDescent="0.25">
      <c r="A286" s="127"/>
    </row>
    <row r="287" spans="1:1" x14ac:dyDescent="0.25">
      <c r="A287" s="127"/>
    </row>
    <row r="288" spans="1:1" x14ac:dyDescent="0.25">
      <c r="A288" s="127"/>
    </row>
    <row r="289" spans="1:1" x14ac:dyDescent="0.25">
      <c r="A289" s="127"/>
    </row>
    <row r="290" spans="1:1" x14ac:dyDescent="0.25">
      <c r="A290" s="127"/>
    </row>
    <row r="291" spans="1:1" x14ac:dyDescent="0.25">
      <c r="A291" s="127"/>
    </row>
    <row r="292" spans="1:1" x14ac:dyDescent="0.25">
      <c r="A292" s="127"/>
    </row>
    <row r="293" spans="1:1" x14ac:dyDescent="0.25">
      <c r="A293" s="127"/>
    </row>
    <row r="294" spans="1:1" x14ac:dyDescent="0.25">
      <c r="A294" s="127"/>
    </row>
    <row r="295" spans="1:1" x14ac:dyDescent="0.25">
      <c r="A295" s="127"/>
    </row>
    <row r="296" spans="1:1" x14ac:dyDescent="0.25">
      <c r="A296" s="127"/>
    </row>
    <row r="297" spans="1:1" x14ac:dyDescent="0.25">
      <c r="A297" s="127"/>
    </row>
    <row r="298" spans="1:1" x14ac:dyDescent="0.25">
      <c r="A298" s="127"/>
    </row>
    <row r="299" spans="1:1" x14ac:dyDescent="0.25">
      <c r="A299" s="127"/>
    </row>
    <row r="300" spans="1:1" x14ac:dyDescent="0.25">
      <c r="A300" s="127"/>
    </row>
    <row r="301" spans="1:1" x14ac:dyDescent="0.25">
      <c r="A301" s="127"/>
    </row>
    <row r="302" spans="1:1" x14ac:dyDescent="0.25">
      <c r="A302" s="127"/>
    </row>
    <row r="303" spans="1:1" x14ac:dyDescent="0.25">
      <c r="A303" s="127"/>
    </row>
    <row r="304" spans="1:1" x14ac:dyDescent="0.25">
      <c r="A304" s="127"/>
    </row>
    <row r="305" spans="1:1" x14ac:dyDescent="0.25">
      <c r="A305" s="127"/>
    </row>
    <row r="306" spans="1:1" x14ac:dyDescent="0.25">
      <c r="A306" s="127"/>
    </row>
    <row r="307" spans="1:1" x14ac:dyDescent="0.25">
      <c r="A307" s="127"/>
    </row>
    <row r="308" spans="1:1" x14ac:dyDescent="0.25">
      <c r="A308" s="127"/>
    </row>
    <row r="309" spans="1:1" x14ac:dyDescent="0.25">
      <c r="A309" s="127"/>
    </row>
    <row r="310" spans="1:1" x14ac:dyDescent="0.25">
      <c r="A310" s="127"/>
    </row>
    <row r="311" spans="1:1" x14ac:dyDescent="0.25">
      <c r="A311" s="127"/>
    </row>
    <row r="312" spans="1:1" x14ac:dyDescent="0.25">
      <c r="A312" s="127"/>
    </row>
    <row r="313" spans="1:1" x14ac:dyDescent="0.25">
      <c r="A313" s="127"/>
    </row>
    <row r="314" spans="1:1" x14ac:dyDescent="0.25">
      <c r="A314" s="127"/>
    </row>
    <row r="315" spans="1:1" x14ac:dyDescent="0.25">
      <c r="A315" s="127"/>
    </row>
    <row r="316" spans="1:1" x14ac:dyDescent="0.25">
      <c r="A316" s="127"/>
    </row>
    <row r="317" spans="1:1" x14ac:dyDescent="0.25">
      <c r="A317" s="127"/>
    </row>
    <row r="318" spans="1:1" x14ac:dyDescent="0.25">
      <c r="A318" s="127"/>
    </row>
    <row r="319" spans="1:1" x14ac:dyDescent="0.25">
      <c r="A319" s="127"/>
    </row>
    <row r="320" spans="1:1" x14ac:dyDescent="0.25">
      <c r="A320" s="127"/>
    </row>
    <row r="321" spans="1:1" x14ac:dyDescent="0.25">
      <c r="A321" s="127"/>
    </row>
    <row r="322" spans="1:1" x14ac:dyDescent="0.25">
      <c r="A322" s="127"/>
    </row>
    <row r="323" spans="1:1" x14ac:dyDescent="0.25">
      <c r="A323" s="127"/>
    </row>
    <row r="324" spans="1:1" x14ac:dyDescent="0.25">
      <c r="A324" s="127"/>
    </row>
    <row r="325" spans="1:1" x14ac:dyDescent="0.25">
      <c r="A325" s="127"/>
    </row>
    <row r="326" spans="1:1" x14ac:dyDescent="0.25">
      <c r="A326" s="127"/>
    </row>
    <row r="327" spans="1:1" x14ac:dyDescent="0.25">
      <c r="A327" s="127"/>
    </row>
    <row r="328" spans="1:1" x14ac:dyDescent="0.25">
      <c r="A328" s="127"/>
    </row>
    <row r="329" spans="1:1" x14ac:dyDescent="0.25">
      <c r="A329" s="127"/>
    </row>
    <row r="330" spans="1:1" x14ac:dyDescent="0.25">
      <c r="A330" s="127"/>
    </row>
    <row r="331" spans="1:1" x14ac:dyDescent="0.25">
      <c r="A331" s="127"/>
    </row>
    <row r="332" spans="1:1" x14ac:dyDescent="0.25">
      <c r="A332" s="127"/>
    </row>
    <row r="333" spans="1:1" x14ac:dyDescent="0.25">
      <c r="A333" s="127"/>
    </row>
    <row r="334" spans="1:1" x14ac:dyDescent="0.25">
      <c r="A334" s="127"/>
    </row>
    <row r="335" spans="1:1" x14ac:dyDescent="0.25">
      <c r="A335" s="127"/>
    </row>
    <row r="336" spans="1:1" x14ac:dyDescent="0.25">
      <c r="A336" s="127"/>
    </row>
    <row r="337" spans="1:1" x14ac:dyDescent="0.25">
      <c r="A337" s="127"/>
    </row>
    <row r="338" spans="1:1" x14ac:dyDescent="0.25">
      <c r="A338" s="127"/>
    </row>
    <row r="339" spans="1:1" x14ac:dyDescent="0.25">
      <c r="A339" s="127"/>
    </row>
    <row r="340" spans="1:1" x14ac:dyDescent="0.25">
      <c r="A340" s="127"/>
    </row>
    <row r="341" spans="1:1" x14ac:dyDescent="0.25">
      <c r="A341" s="127"/>
    </row>
    <row r="342" spans="1:1" x14ac:dyDescent="0.25">
      <c r="A342" s="127"/>
    </row>
    <row r="343" spans="1:1" x14ac:dyDescent="0.25">
      <c r="A343" s="127"/>
    </row>
    <row r="344" spans="1:1" x14ac:dyDescent="0.25">
      <c r="A344" s="127"/>
    </row>
    <row r="345" spans="1:1" x14ac:dyDescent="0.25">
      <c r="A345" s="127"/>
    </row>
    <row r="346" spans="1:1" x14ac:dyDescent="0.25">
      <c r="A346" s="127"/>
    </row>
    <row r="347" spans="1:1" x14ac:dyDescent="0.25">
      <c r="A347" s="127"/>
    </row>
    <row r="348" spans="1:1" x14ac:dyDescent="0.25">
      <c r="A348" s="127"/>
    </row>
    <row r="349" spans="1:1" x14ac:dyDescent="0.25">
      <c r="A349" s="127"/>
    </row>
    <row r="350" spans="1:1" x14ac:dyDescent="0.25">
      <c r="A350" s="127"/>
    </row>
    <row r="351" spans="1:1" x14ac:dyDescent="0.25">
      <c r="A351" s="127"/>
    </row>
    <row r="352" spans="1:1" x14ac:dyDescent="0.25">
      <c r="A352" s="127"/>
    </row>
    <row r="353" spans="1:1" x14ac:dyDescent="0.25">
      <c r="A353" s="127"/>
    </row>
    <row r="354" spans="1:1" x14ac:dyDescent="0.25">
      <c r="A354" s="127"/>
    </row>
    <row r="355" spans="1:1" x14ac:dyDescent="0.25">
      <c r="A355" s="127"/>
    </row>
    <row r="356" spans="1:1" x14ac:dyDescent="0.25">
      <c r="A356" s="127"/>
    </row>
    <row r="357" spans="1:1" x14ac:dyDescent="0.25">
      <c r="A357" s="127"/>
    </row>
    <row r="358" spans="1:1" x14ac:dyDescent="0.25">
      <c r="A358" s="127"/>
    </row>
    <row r="359" spans="1:1" x14ac:dyDescent="0.25">
      <c r="A359" s="127"/>
    </row>
    <row r="360" spans="1:1" x14ac:dyDescent="0.25">
      <c r="A360" s="127"/>
    </row>
    <row r="361" spans="1:1" x14ac:dyDescent="0.25">
      <c r="A361" s="127"/>
    </row>
    <row r="362" spans="1:1" x14ac:dyDescent="0.25">
      <c r="A362" s="127"/>
    </row>
    <row r="363" spans="1:1" x14ac:dyDescent="0.25">
      <c r="A363" s="127"/>
    </row>
    <row r="364" spans="1:1" x14ac:dyDescent="0.25">
      <c r="A364" s="127"/>
    </row>
    <row r="365" spans="1:1" x14ac:dyDescent="0.25">
      <c r="A365" s="127"/>
    </row>
    <row r="366" spans="1:1" x14ac:dyDescent="0.25">
      <c r="A366" s="127"/>
    </row>
    <row r="367" spans="1:1" x14ac:dyDescent="0.25">
      <c r="A367" s="127"/>
    </row>
    <row r="368" spans="1:1" x14ac:dyDescent="0.25">
      <c r="A368" s="127"/>
    </row>
    <row r="369" spans="1:1" x14ac:dyDescent="0.25">
      <c r="A369" s="127"/>
    </row>
    <row r="370" spans="1:1" x14ac:dyDescent="0.25">
      <c r="A370" s="127"/>
    </row>
    <row r="371" spans="1:1" x14ac:dyDescent="0.25">
      <c r="A371" s="127"/>
    </row>
    <row r="372" spans="1:1" x14ac:dyDescent="0.25">
      <c r="A372" s="127"/>
    </row>
    <row r="373" spans="1:1" x14ac:dyDescent="0.25">
      <c r="A373" s="127"/>
    </row>
    <row r="374" spans="1:1" x14ac:dyDescent="0.25">
      <c r="A374" s="127"/>
    </row>
    <row r="375" spans="1:1" x14ac:dyDescent="0.25">
      <c r="A375" s="127"/>
    </row>
    <row r="376" spans="1:1" x14ac:dyDescent="0.25">
      <c r="A376" s="127"/>
    </row>
    <row r="377" spans="1:1" x14ac:dyDescent="0.25">
      <c r="A377" s="127"/>
    </row>
    <row r="378" spans="1:1" x14ac:dyDescent="0.25">
      <c r="A378" s="127"/>
    </row>
    <row r="379" spans="1:1" x14ac:dyDescent="0.25">
      <c r="A379" s="127"/>
    </row>
    <row r="380" spans="1:1" x14ac:dyDescent="0.25">
      <c r="A380" s="127"/>
    </row>
    <row r="381" spans="1:1" x14ac:dyDescent="0.25">
      <c r="A381" s="127"/>
    </row>
    <row r="382" spans="1:1" x14ac:dyDescent="0.25">
      <c r="A382" s="127"/>
    </row>
    <row r="383" spans="1:1" x14ac:dyDescent="0.25">
      <c r="A383" s="127"/>
    </row>
    <row r="384" spans="1:1" x14ac:dyDescent="0.25">
      <c r="A384" s="127"/>
    </row>
  </sheetData>
  <sheetProtection selectLockedCells="1"/>
  <mergeCells count="8">
    <mergeCell ref="B1:C1"/>
    <mergeCell ref="R2:S2"/>
    <mergeCell ref="B2:H2"/>
    <mergeCell ref="I2:K2"/>
    <mergeCell ref="L2:N2"/>
    <mergeCell ref="O2:Q2"/>
    <mergeCell ref="E1:J1"/>
    <mergeCell ref="K1:R1"/>
  </mergeCells>
  <conditionalFormatting sqref="S1">
    <cfRule type="cellIs" dxfId="174" priority="2032" stopIfTrue="1" operator="greaterThanOrEqual">
      <formula>0.85</formula>
    </cfRule>
    <cfRule type="cellIs" dxfId="173" priority="2033" stopIfTrue="1" operator="lessThan">
      <formula>0.85</formula>
    </cfRule>
  </conditionalFormatting>
  <conditionalFormatting sqref="G6:G10 G12:G51">
    <cfRule type="expression" dxfId="172" priority="87">
      <formula>COUNTA(G6)&gt;0</formula>
    </cfRule>
    <cfRule type="colorScale" priority="88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:H10 H12:H51">
    <cfRule type="expression" dxfId="171" priority="85">
      <formula>COUNTA(H6)&gt;0</formula>
    </cfRule>
    <cfRule type="colorScale" priority="86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6:I10 I12:I51">
    <cfRule type="expression" dxfId="170" priority="83">
      <formula>COUNTA(I6)&gt;0</formula>
    </cfRule>
    <cfRule type="colorScale" priority="84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6:J10 J12:J51">
    <cfRule type="expression" dxfId="169" priority="81">
      <formula>COUNTA(J6)&gt;0</formula>
    </cfRule>
    <cfRule type="colorScale" priority="82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6:K10 K12:K51">
    <cfRule type="expression" dxfId="168" priority="79">
      <formula>COUNTA(K6)&gt;0</formula>
    </cfRule>
    <cfRule type="colorScale" priority="80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6:L10 L12:L51">
    <cfRule type="expression" dxfId="167" priority="77">
      <formula>COUNTA(L6)&gt;0</formula>
    </cfRule>
    <cfRule type="colorScale" priority="78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6:M10 M12:M51">
    <cfRule type="expression" dxfId="166" priority="75">
      <formula>COUNTA(M6)&gt;0</formula>
    </cfRule>
    <cfRule type="colorScale" priority="76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6:N10 N12:N51">
    <cfRule type="expression" dxfId="165" priority="73">
      <formula>COUNTA(N6)&gt;0</formula>
    </cfRule>
    <cfRule type="colorScale" priority="74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6:O10 O12:O51">
    <cfRule type="expression" dxfId="164" priority="71">
      <formula>COUNTA(O6)&gt;0</formula>
    </cfRule>
    <cfRule type="colorScale" priority="72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P6:P10 P12:P51">
    <cfRule type="expression" dxfId="163" priority="69">
      <formula>COUNTA(P6)&gt;0</formula>
    </cfRule>
    <cfRule type="colorScale" priority="70">
      <colorScale>
        <cfvo type="num" val="0"/>
        <cfvo type="num" val="($P$4)/2"/>
        <cfvo type="num" val="$P$4"/>
        <color rgb="FFEA4C4C"/>
        <color rgb="FFFFEB84"/>
        <color theme="6" tint="-0.249977111117893"/>
      </colorScale>
    </cfRule>
  </conditionalFormatting>
  <conditionalFormatting sqref="Q6:Q10 Q12:Q51">
    <cfRule type="expression" dxfId="162" priority="67">
      <formula>COUNTA(Q6)&gt;0</formula>
    </cfRule>
    <cfRule type="colorScale" priority="68">
      <colorScale>
        <cfvo type="num" val="0"/>
        <cfvo type="num" val="($Q$4)/2"/>
        <cfvo type="num" val="$Q$4"/>
        <color rgb="FFEA4C4C"/>
        <color rgb="FFFFEB84"/>
        <color theme="6" tint="-0.249977111117893"/>
      </colorScale>
    </cfRule>
  </conditionalFormatting>
  <conditionalFormatting sqref="B6:B10 B12:B51">
    <cfRule type="expression" dxfId="161" priority="61">
      <formula>COUNTA(B6)&gt;0</formula>
    </cfRule>
    <cfRule type="colorScale" priority="62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:C10 C12:C51">
    <cfRule type="expression" dxfId="160" priority="59">
      <formula>COUNTA(C6)&gt;0</formula>
    </cfRule>
    <cfRule type="colorScale" priority="60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E6:E10 E12:E51">
    <cfRule type="expression" dxfId="159" priority="57">
      <formula>COUNTA(E6)&gt;0</formula>
    </cfRule>
    <cfRule type="colorScale" priority="58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:D10 D12:D51">
    <cfRule type="expression" dxfId="158" priority="55">
      <formula>COUNTA(D6)&gt;0</formula>
    </cfRule>
    <cfRule type="colorScale" priority="56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F6:F10 F12:F51">
    <cfRule type="expression" dxfId="157" priority="53">
      <formula>COUNTA(F6)&gt;0</formula>
    </cfRule>
    <cfRule type="colorScale" priority="54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S6:S51">
    <cfRule type="colorScale" priority="51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156" priority="52">
      <formula>ISNUMBER(S6)</formula>
    </cfRule>
  </conditionalFormatting>
  <conditionalFormatting sqref="R6:R51">
    <cfRule type="colorScale" priority="49">
      <colorScale>
        <cfvo type="num" val="0"/>
        <cfvo type="num" val="$R$4/2"/>
        <cfvo type="num" val="$R$4"/>
        <color rgb="FFEA4C4C"/>
        <color rgb="FFFFEB84"/>
        <color theme="6" tint="-0.249977111117893"/>
      </colorScale>
    </cfRule>
    <cfRule type="expression" dxfId="155" priority="50">
      <formula>ISNUMBER(R6)</formula>
    </cfRule>
  </conditionalFormatting>
  <conditionalFormatting sqref="G11">
    <cfRule type="expression" dxfId="153" priority="31">
      <formula>COUNTA(G11)&gt;0</formula>
    </cfRule>
    <cfRule type="colorScale" priority="32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11">
    <cfRule type="expression" dxfId="152" priority="29">
      <formula>COUNTA(H11)&gt;0</formula>
    </cfRule>
    <cfRule type="colorScale" priority="30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11">
    <cfRule type="expression" dxfId="151" priority="27">
      <formula>COUNTA(I11)&gt;0</formula>
    </cfRule>
    <cfRule type="colorScale" priority="28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11">
    <cfRule type="expression" dxfId="150" priority="25">
      <formula>COUNTA(J11)&gt;0</formula>
    </cfRule>
    <cfRule type="colorScale" priority="26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11">
    <cfRule type="expression" dxfId="149" priority="23">
      <formula>COUNTA(K11)&gt;0</formula>
    </cfRule>
    <cfRule type="colorScale" priority="24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11">
    <cfRule type="expression" dxfId="148" priority="21">
      <formula>COUNTA(L11)&gt;0</formula>
    </cfRule>
    <cfRule type="colorScale" priority="22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11">
    <cfRule type="expression" dxfId="147" priority="19">
      <formula>COUNTA(M11)&gt;0</formula>
    </cfRule>
    <cfRule type="colorScale" priority="20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11">
    <cfRule type="expression" dxfId="146" priority="17">
      <formula>COUNTA(N11)&gt;0</formula>
    </cfRule>
    <cfRule type="colorScale" priority="18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11">
    <cfRule type="expression" dxfId="145" priority="15">
      <formula>COUNTA(O11)&gt;0</formula>
    </cfRule>
    <cfRule type="colorScale" priority="16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P11">
    <cfRule type="expression" dxfId="144" priority="13">
      <formula>COUNTA(P11)&gt;0</formula>
    </cfRule>
    <cfRule type="colorScale" priority="14">
      <colorScale>
        <cfvo type="num" val="0"/>
        <cfvo type="num" val="($P$4)/2"/>
        <cfvo type="num" val="$P$4"/>
        <color rgb="FFEA4C4C"/>
        <color rgb="FFFFEB84"/>
        <color theme="6" tint="-0.249977111117893"/>
      </colorScale>
    </cfRule>
  </conditionalFormatting>
  <conditionalFormatting sqref="Q11">
    <cfRule type="expression" dxfId="143" priority="11">
      <formula>COUNTA(Q11)&gt;0</formula>
    </cfRule>
    <cfRule type="colorScale" priority="12">
      <colorScale>
        <cfvo type="num" val="0"/>
        <cfvo type="num" val="($Q$4)/2"/>
        <cfvo type="num" val="$Q$4"/>
        <color rgb="FFEA4C4C"/>
        <color rgb="FFFFEB84"/>
        <color theme="6" tint="-0.249977111117893"/>
      </colorScale>
    </cfRule>
  </conditionalFormatting>
  <conditionalFormatting sqref="B11">
    <cfRule type="expression" dxfId="142" priority="9">
      <formula>COUNTA(B11)&gt;0</formula>
    </cfRule>
    <cfRule type="colorScale" priority="10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11">
    <cfRule type="expression" dxfId="141" priority="7">
      <formula>COUNTA(C11)&gt;0</formula>
    </cfRule>
    <cfRule type="colorScale" priority="8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E11">
    <cfRule type="expression" dxfId="140" priority="5">
      <formula>COUNTA(E11)&gt;0</formula>
    </cfRule>
    <cfRule type="colorScale" priority="6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11">
    <cfRule type="expression" dxfId="139" priority="3">
      <formula>COUNTA(D11)&gt;0</formula>
    </cfRule>
    <cfRule type="colorScale" priority="4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F11">
    <cfRule type="expression" dxfId="138" priority="1">
      <formula>COUNTA(F11)&gt;0</formula>
    </cfRule>
    <cfRule type="colorScale" priority="2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printOptions horizontalCentered="1" gridLines="1"/>
  <pageMargins left="0.48" right="0.31" top="1.25" bottom="1" header="0.5" footer="0.5"/>
  <pageSetup scale="96" orientation="landscape"/>
  <headerFooter alignWithMargins="0">
    <oddHeader>&amp;C&amp;"Times New Roman,Bold"&amp;12Mathematics
Skills Analysis Sheet for Addition, Subtraction, and the Number System
Grade 1, &amp;A</oddHeader>
    <oddFooter>&amp;L&amp;"Times New Roman"&amp;8Grade 2, &amp;A
Place Value to 100 and Money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7" stopIfTrue="1" id="{FD0AD38F-E6C5-44BE-93FF-5DDA2FAEDD5D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25"/>
  <sheetViews>
    <sheetView zoomScaleNormal="100" workbookViewId="0">
      <selection activeCell="E23" sqref="A1:XFD1048576"/>
    </sheetView>
  </sheetViews>
  <sheetFormatPr defaultColWidth="9.140625" defaultRowHeight="15.75" x14ac:dyDescent="0.25"/>
  <cols>
    <col min="1" max="1" width="26.42578125" style="127" bestFit="1" customWidth="1"/>
    <col min="2" max="2" width="8.85546875" style="127" customWidth="1"/>
    <col min="3" max="3" width="6.42578125" style="127" customWidth="1"/>
    <col min="4" max="4" width="7" style="127" customWidth="1"/>
    <col min="5" max="5" width="7.85546875" style="127" customWidth="1"/>
    <col min="6" max="6" width="5.28515625" style="127" customWidth="1"/>
    <col min="7" max="7" width="4.140625" style="127" customWidth="1"/>
    <col min="8" max="9" width="4.42578125" style="127" customWidth="1"/>
    <col min="10" max="11" width="3.28515625" style="127" customWidth="1"/>
    <col min="12" max="12" width="4.7109375" style="127" customWidth="1"/>
    <col min="13" max="13" width="6.7109375" style="127" customWidth="1"/>
    <col min="14" max="14" width="9.7109375" style="127" customWidth="1"/>
    <col min="15" max="15" width="9.85546875" style="127" customWidth="1"/>
    <col min="16" max="16" width="9.42578125" style="127" customWidth="1"/>
    <col min="17" max="17" width="14.42578125" style="127" bestFit="1" customWidth="1"/>
    <col min="18" max="16384" width="9.140625" style="127"/>
  </cols>
  <sheetData>
    <row r="1" spans="1:17" s="183" customFormat="1" ht="41.25" customHeight="1" x14ac:dyDescent="0.2">
      <c r="A1" s="113" t="str">
        <f>IF(Info!B1&lt;&gt;0,Info!B1,"Please fill out info sheet")</f>
        <v>Ms. Johnston</v>
      </c>
      <c r="B1" s="114" t="s">
        <v>41</v>
      </c>
      <c r="C1" s="114"/>
      <c r="D1" s="152" t="s">
        <v>7</v>
      </c>
      <c r="E1" s="116" t="s">
        <v>61</v>
      </c>
      <c r="F1" s="117"/>
      <c r="G1" s="117"/>
      <c r="H1" s="117"/>
      <c r="I1" s="117"/>
      <c r="J1" s="118"/>
      <c r="K1" s="181" t="s">
        <v>37</v>
      </c>
      <c r="L1" s="181"/>
      <c r="M1" s="181"/>
      <c r="N1" s="181"/>
      <c r="O1" s="181"/>
      <c r="P1" s="182"/>
      <c r="Q1" s="168">
        <f>IF(COUNTA(class_list)&lt;&gt;0,(COUNTIF(Q6:Q50,"&gt;=.795"))/SUMPRODUCT(ISNUMBER(Q6:Q50)*1), "N/A")</f>
        <v>0.94444444444444442</v>
      </c>
    </row>
    <row r="2" spans="1:17" ht="46.5" customHeight="1" x14ac:dyDescent="0.25">
      <c r="A2" s="184" t="s">
        <v>1</v>
      </c>
      <c r="B2" s="135" t="s">
        <v>45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7"/>
      <c r="P2" s="185" t="s">
        <v>31</v>
      </c>
      <c r="Q2" s="186"/>
    </row>
    <row r="3" spans="1:17" ht="12.75" customHeight="1" x14ac:dyDescent="0.25">
      <c r="A3" s="187" t="s">
        <v>2</v>
      </c>
      <c r="B3" s="142">
        <v>1</v>
      </c>
      <c r="C3" s="142">
        <v>2</v>
      </c>
      <c r="D3" s="142">
        <v>3</v>
      </c>
      <c r="E3" s="142">
        <v>4</v>
      </c>
      <c r="F3" s="142">
        <v>5</v>
      </c>
      <c r="G3" s="142">
        <v>6</v>
      </c>
      <c r="H3" s="142">
        <v>7</v>
      </c>
      <c r="I3" s="142">
        <v>8</v>
      </c>
      <c r="J3" s="142">
        <v>9</v>
      </c>
      <c r="K3" s="142">
        <v>10</v>
      </c>
      <c r="L3" s="142">
        <v>11</v>
      </c>
      <c r="M3" s="142">
        <v>12</v>
      </c>
      <c r="N3" s="142">
        <v>13</v>
      </c>
      <c r="O3" s="142">
        <v>14</v>
      </c>
      <c r="P3" s="142" t="s">
        <v>4</v>
      </c>
      <c r="Q3" s="142" t="s">
        <v>17</v>
      </c>
    </row>
    <row r="4" spans="1:17" ht="12" customHeight="1" x14ac:dyDescent="0.25">
      <c r="A4" s="187" t="s">
        <v>3</v>
      </c>
      <c r="B4" s="188">
        <v>1</v>
      </c>
      <c r="C4" s="188">
        <v>1</v>
      </c>
      <c r="D4" s="188">
        <v>2</v>
      </c>
      <c r="E4" s="188">
        <v>1</v>
      </c>
      <c r="F4" s="188">
        <v>1</v>
      </c>
      <c r="G4" s="188">
        <v>1</v>
      </c>
      <c r="H4" s="188">
        <v>1</v>
      </c>
      <c r="I4" s="188">
        <v>1</v>
      </c>
      <c r="J4" s="188">
        <v>1</v>
      </c>
      <c r="K4" s="188">
        <v>1</v>
      </c>
      <c r="L4" s="188">
        <v>1</v>
      </c>
      <c r="M4" s="188">
        <v>1</v>
      </c>
      <c r="N4" s="188">
        <v>1</v>
      </c>
      <c r="O4" s="188">
        <v>1</v>
      </c>
      <c r="P4" s="142">
        <f>SUM(B4:O4)</f>
        <v>15</v>
      </c>
      <c r="Q4" s="142"/>
    </row>
    <row r="5" spans="1:17" ht="12.75" customHeight="1" x14ac:dyDescent="0.25">
      <c r="A5" s="122" t="s">
        <v>0</v>
      </c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</row>
    <row r="6" spans="1:17" x14ac:dyDescent="0.25">
      <c r="A6" s="123" t="str">
        <f>(IF(Info!$B3&lt;&gt;"",Info!$B3,""))</f>
        <v>Cal Ripkin</v>
      </c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5" t="str">
        <f>IF(COUNTA(B6:O6)=0,"",SUM(B6:O6))</f>
        <v/>
      </c>
      <c r="Q6" s="126" t="str">
        <f>IF(COUNTA(B6:O6)=0,"",SUM(B6:O6)/$P$4)</f>
        <v/>
      </c>
    </row>
    <row r="7" spans="1:17" x14ac:dyDescent="0.25">
      <c r="A7" s="123" t="str">
        <f>(IF(Info!$B4&lt;&gt;"",Info!$B4,""))</f>
        <v>Brooks Robinson</v>
      </c>
      <c r="B7" s="124">
        <v>1</v>
      </c>
      <c r="C7" s="124">
        <v>1</v>
      </c>
      <c r="D7" s="124">
        <v>2</v>
      </c>
      <c r="E7" s="124">
        <v>1</v>
      </c>
      <c r="F7" s="124">
        <v>1</v>
      </c>
      <c r="G7" s="124">
        <v>1</v>
      </c>
      <c r="H7" s="124">
        <v>1</v>
      </c>
      <c r="I7" s="124">
        <v>0</v>
      </c>
      <c r="J7" s="124">
        <v>1</v>
      </c>
      <c r="K7" s="124">
        <v>1</v>
      </c>
      <c r="L7" s="124">
        <v>0</v>
      </c>
      <c r="M7" s="124">
        <v>0</v>
      </c>
      <c r="N7" s="124">
        <v>1</v>
      </c>
      <c r="O7" s="124">
        <v>1</v>
      </c>
      <c r="P7" s="125">
        <f t="shared" ref="P7:P50" si="0">IF(COUNTA(B7:O7)=0,"",SUM(B7:O7))</f>
        <v>12</v>
      </c>
      <c r="Q7" s="126">
        <f t="shared" ref="Q7:Q51" si="1">IF(COUNTA(B7:O7)=0,"",SUM(B7:O7)/$P$4)</f>
        <v>0.8</v>
      </c>
    </row>
    <row r="8" spans="1:17" x14ac:dyDescent="0.25">
      <c r="A8" s="123" t="str">
        <f>(IF(Info!$B5&lt;&gt;"",Info!$B5,""))</f>
        <v>Frank Robinson</v>
      </c>
      <c r="B8" s="124">
        <v>1</v>
      </c>
      <c r="C8" s="124">
        <v>1</v>
      </c>
      <c r="D8" s="124">
        <v>2</v>
      </c>
      <c r="E8" s="124">
        <v>1</v>
      </c>
      <c r="F8" s="124">
        <v>1</v>
      </c>
      <c r="G8" s="124">
        <v>1</v>
      </c>
      <c r="H8" s="124">
        <v>1</v>
      </c>
      <c r="I8" s="124">
        <v>1</v>
      </c>
      <c r="J8" s="124">
        <v>1</v>
      </c>
      <c r="K8" s="124">
        <v>1</v>
      </c>
      <c r="L8" s="124">
        <v>1</v>
      </c>
      <c r="M8" s="124">
        <v>1</v>
      </c>
      <c r="N8" s="124">
        <v>1</v>
      </c>
      <c r="O8" s="124">
        <v>1</v>
      </c>
      <c r="P8" s="125">
        <f t="shared" si="0"/>
        <v>15</v>
      </c>
      <c r="Q8" s="126">
        <f t="shared" si="1"/>
        <v>1</v>
      </c>
    </row>
    <row r="9" spans="1:17" x14ac:dyDescent="0.25">
      <c r="A9" s="123" t="str">
        <f>(IF(Info!$B6&lt;&gt;"",Info!$B6,""))</f>
        <v>Jim Palmer</v>
      </c>
      <c r="B9" s="124">
        <v>1</v>
      </c>
      <c r="C9" s="124">
        <v>1</v>
      </c>
      <c r="D9" s="124">
        <v>2</v>
      </c>
      <c r="E9" s="124">
        <v>1</v>
      </c>
      <c r="F9" s="124">
        <v>1</v>
      </c>
      <c r="G9" s="124">
        <v>1</v>
      </c>
      <c r="H9" s="124">
        <v>1</v>
      </c>
      <c r="I9" s="124">
        <v>1</v>
      </c>
      <c r="J9" s="124">
        <v>1</v>
      </c>
      <c r="K9" s="124">
        <v>1</v>
      </c>
      <c r="L9" s="124">
        <v>1</v>
      </c>
      <c r="M9" s="124">
        <v>1</v>
      </c>
      <c r="N9" s="124">
        <v>1</v>
      </c>
      <c r="O9" s="124">
        <v>1</v>
      </c>
      <c r="P9" s="125">
        <f t="shared" si="0"/>
        <v>15</v>
      </c>
      <c r="Q9" s="126">
        <f t="shared" si="1"/>
        <v>1</v>
      </c>
    </row>
    <row r="10" spans="1:17" x14ac:dyDescent="0.25">
      <c r="A10" s="123" t="str">
        <f>(IF(Info!$B7&lt;&gt;"",Info!$B7,""))</f>
        <v>Eddie Murray</v>
      </c>
      <c r="B10" s="124">
        <v>1</v>
      </c>
      <c r="C10" s="124">
        <v>1</v>
      </c>
      <c r="D10" s="124">
        <v>2</v>
      </c>
      <c r="E10" s="124">
        <v>1</v>
      </c>
      <c r="F10" s="124">
        <v>1</v>
      </c>
      <c r="G10" s="124">
        <v>1</v>
      </c>
      <c r="H10" s="124">
        <v>1</v>
      </c>
      <c r="I10" s="124">
        <v>1</v>
      </c>
      <c r="J10" s="124">
        <v>1</v>
      </c>
      <c r="K10" s="124">
        <v>1</v>
      </c>
      <c r="L10" s="124">
        <v>1</v>
      </c>
      <c r="M10" s="124">
        <v>1</v>
      </c>
      <c r="N10" s="124">
        <v>1</v>
      </c>
      <c r="O10" s="124">
        <v>1</v>
      </c>
      <c r="P10" s="125">
        <f t="shared" si="0"/>
        <v>15</v>
      </c>
      <c r="Q10" s="126">
        <f t="shared" si="1"/>
        <v>1</v>
      </c>
    </row>
    <row r="11" spans="1:17" x14ac:dyDescent="0.25">
      <c r="A11" s="123" t="str">
        <f>(IF(Info!$B8&lt;&gt;"",Info!$B8,""))</f>
        <v>Manny Machado</v>
      </c>
      <c r="B11" s="124">
        <v>1</v>
      </c>
      <c r="C11" s="124">
        <v>0</v>
      </c>
      <c r="D11" s="124">
        <v>0</v>
      </c>
      <c r="E11" s="124">
        <v>1</v>
      </c>
      <c r="F11" s="124">
        <v>1</v>
      </c>
      <c r="G11" s="124">
        <v>1</v>
      </c>
      <c r="H11" s="124">
        <v>1</v>
      </c>
      <c r="I11" s="124">
        <v>1</v>
      </c>
      <c r="J11" s="124">
        <v>1</v>
      </c>
      <c r="K11" s="124">
        <v>1</v>
      </c>
      <c r="L11" s="124">
        <v>1</v>
      </c>
      <c r="M11" s="124">
        <v>1</v>
      </c>
      <c r="N11" s="124">
        <v>1</v>
      </c>
      <c r="O11" s="124">
        <v>1</v>
      </c>
      <c r="P11" s="125">
        <f t="shared" si="0"/>
        <v>12</v>
      </c>
      <c r="Q11" s="126">
        <f t="shared" si="1"/>
        <v>0.8</v>
      </c>
    </row>
    <row r="12" spans="1:17" x14ac:dyDescent="0.25">
      <c r="A12" s="123" t="str">
        <f>(IF(Info!$B9&lt;&gt;"",Info!$B9,""))</f>
        <v>Boog Powell</v>
      </c>
      <c r="B12" s="124">
        <v>1</v>
      </c>
      <c r="C12" s="124">
        <v>1</v>
      </c>
      <c r="D12" s="124">
        <v>1</v>
      </c>
      <c r="E12" s="124">
        <v>1</v>
      </c>
      <c r="F12" s="124">
        <v>1</v>
      </c>
      <c r="G12" s="124">
        <v>1</v>
      </c>
      <c r="H12" s="124">
        <v>1</v>
      </c>
      <c r="I12" s="124">
        <v>1</v>
      </c>
      <c r="J12" s="124">
        <v>1</v>
      </c>
      <c r="K12" s="124">
        <v>1</v>
      </c>
      <c r="L12" s="124">
        <v>1</v>
      </c>
      <c r="M12" s="124">
        <v>1</v>
      </c>
      <c r="N12" s="124">
        <v>1</v>
      </c>
      <c r="O12" s="124">
        <v>1</v>
      </c>
      <c r="P12" s="125">
        <f t="shared" si="0"/>
        <v>14</v>
      </c>
      <c r="Q12" s="126">
        <f t="shared" si="1"/>
        <v>0.93333333333333335</v>
      </c>
    </row>
    <row r="13" spans="1:17" x14ac:dyDescent="0.25">
      <c r="A13" s="123" t="str">
        <f>(IF(Info!$B10&lt;&gt;"",Info!$B10,""))</f>
        <v>Brady Anderson</v>
      </c>
      <c r="B13" s="124">
        <v>1</v>
      </c>
      <c r="C13" s="124">
        <v>1</v>
      </c>
      <c r="D13" s="124">
        <v>2</v>
      </c>
      <c r="E13" s="124">
        <v>1</v>
      </c>
      <c r="F13" s="124">
        <v>1</v>
      </c>
      <c r="G13" s="124">
        <v>1</v>
      </c>
      <c r="H13" s="124">
        <v>1</v>
      </c>
      <c r="I13" s="124">
        <v>1</v>
      </c>
      <c r="J13" s="124">
        <v>1</v>
      </c>
      <c r="K13" s="124">
        <v>1</v>
      </c>
      <c r="L13" s="124">
        <v>1</v>
      </c>
      <c r="M13" s="124">
        <v>1</v>
      </c>
      <c r="N13" s="124">
        <v>1</v>
      </c>
      <c r="O13" s="124">
        <v>1</v>
      </c>
      <c r="P13" s="125">
        <f t="shared" si="0"/>
        <v>15</v>
      </c>
      <c r="Q13" s="126">
        <f t="shared" si="1"/>
        <v>1</v>
      </c>
    </row>
    <row r="14" spans="1:17" x14ac:dyDescent="0.25">
      <c r="A14" s="123" t="str">
        <f>(IF(Info!$B11&lt;&gt;"",Info!$B11,""))</f>
        <v>Rafael Palmero</v>
      </c>
      <c r="B14" s="124">
        <v>1</v>
      </c>
      <c r="C14" s="124">
        <v>1</v>
      </c>
      <c r="D14" s="124">
        <v>2</v>
      </c>
      <c r="E14" s="124">
        <v>1</v>
      </c>
      <c r="F14" s="124">
        <v>1</v>
      </c>
      <c r="G14" s="124">
        <v>1</v>
      </c>
      <c r="H14" s="124">
        <v>1</v>
      </c>
      <c r="I14" s="124">
        <v>1</v>
      </c>
      <c r="J14" s="124">
        <v>1</v>
      </c>
      <c r="K14" s="124">
        <v>1</v>
      </c>
      <c r="L14" s="124">
        <v>1</v>
      </c>
      <c r="M14" s="124">
        <v>1</v>
      </c>
      <c r="N14" s="124">
        <v>1</v>
      </c>
      <c r="O14" s="124">
        <v>1</v>
      </c>
      <c r="P14" s="125">
        <f t="shared" si="0"/>
        <v>15</v>
      </c>
      <c r="Q14" s="126">
        <f t="shared" si="1"/>
        <v>1</v>
      </c>
    </row>
    <row r="15" spans="1:17" x14ac:dyDescent="0.25">
      <c r="A15" s="123" t="str">
        <f>(IF(Info!$B12&lt;&gt;"",Info!$B12,""))</f>
        <v>Melvin Mora</v>
      </c>
      <c r="B15" s="124">
        <v>0</v>
      </c>
      <c r="C15" s="124">
        <v>1</v>
      </c>
      <c r="D15" s="124">
        <v>2</v>
      </c>
      <c r="E15" s="124">
        <v>1</v>
      </c>
      <c r="F15" s="124">
        <v>1</v>
      </c>
      <c r="G15" s="124">
        <v>0</v>
      </c>
      <c r="H15" s="124">
        <v>1</v>
      </c>
      <c r="I15" s="124">
        <v>1</v>
      </c>
      <c r="J15" s="124">
        <v>1</v>
      </c>
      <c r="K15" s="124">
        <v>1</v>
      </c>
      <c r="L15" s="124">
        <v>1</v>
      </c>
      <c r="M15" s="124">
        <v>1</v>
      </c>
      <c r="N15" s="124">
        <v>1</v>
      </c>
      <c r="O15" s="124">
        <v>1</v>
      </c>
      <c r="P15" s="125">
        <f t="shared" si="0"/>
        <v>13</v>
      </c>
      <c r="Q15" s="126">
        <f t="shared" si="1"/>
        <v>0.8666666666666667</v>
      </c>
    </row>
    <row r="16" spans="1:17" x14ac:dyDescent="0.25">
      <c r="A16" s="123" t="str">
        <f>(IF(Info!$B13&lt;&gt;"",Info!$B13,""))</f>
        <v>Dave McNally</v>
      </c>
      <c r="B16" s="124">
        <v>1</v>
      </c>
      <c r="C16" s="124">
        <v>1</v>
      </c>
      <c r="D16" s="124">
        <v>0</v>
      </c>
      <c r="E16" s="124">
        <v>1</v>
      </c>
      <c r="F16" s="124">
        <v>0</v>
      </c>
      <c r="G16" s="124">
        <v>1</v>
      </c>
      <c r="H16" s="124">
        <v>1</v>
      </c>
      <c r="I16" s="124">
        <v>1</v>
      </c>
      <c r="J16" s="124">
        <v>1</v>
      </c>
      <c r="K16" s="124">
        <v>1</v>
      </c>
      <c r="L16" s="124">
        <v>1</v>
      </c>
      <c r="M16" s="124">
        <v>1</v>
      </c>
      <c r="N16" s="124">
        <v>1</v>
      </c>
      <c r="O16" s="124">
        <v>1</v>
      </c>
      <c r="P16" s="125">
        <f t="shared" si="0"/>
        <v>12</v>
      </c>
      <c r="Q16" s="126">
        <f t="shared" si="1"/>
        <v>0.8</v>
      </c>
    </row>
    <row r="17" spans="1:17" x14ac:dyDescent="0.25">
      <c r="A17" s="123" t="str">
        <f>(IF(Info!$B14&lt;&gt;"",Info!$B14,""))</f>
        <v>Ken Singleton</v>
      </c>
      <c r="B17" s="124">
        <v>1</v>
      </c>
      <c r="C17" s="124">
        <v>1</v>
      </c>
      <c r="D17" s="124">
        <v>1</v>
      </c>
      <c r="E17" s="124">
        <v>1</v>
      </c>
      <c r="F17" s="124">
        <v>0</v>
      </c>
      <c r="G17" s="124">
        <v>1</v>
      </c>
      <c r="H17" s="124">
        <v>1</v>
      </c>
      <c r="I17" s="124">
        <v>1</v>
      </c>
      <c r="J17" s="124">
        <v>1</v>
      </c>
      <c r="K17" s="124">
        <v>1</v>
      </c>
      <c r="L17" s="124">
        <v>1</v>
      </c>
      <c r="M17" s="124">
        <v>1</v>
      </c>
      <c r="N17" s="124">
        <v>1</v>
      </c>
      <c r="O17" s="124">
        <v>1</v>
      </c>
      <c r="P17" s="125">
        <f t="shared" si="0"/>
        <v>13</v>
      </c>
      <c r="Q17" s="126">
        <f t="shared" si="1"/>
        <v>0.8666666666666667</v>
      </c>
    </row>
    <row r="18" spans="1:17" x14ac:dyDescent="0.25">
      <c r="A18" s="123" t="str">
        <f>(IF(Info!$B15&lt;&gt;"",Info!$B15,""))</f>
        <v>Jonathan Schoop</v>
      </c>
      <c r="B18" s="124">
        <v>1</v>
      </c>
      <c r="C18" s="124">
        <v>1</v>
      </c>
      <c r="D18" s="124">
        <v>1</v>
      </c>
      <c r="E18" s="124">
        <v>1</v>
      </c>
      <c r="F18" s="124">
        <v>1</v>
      </c>
      <c r="G18" s="124">
        <v>1</v>
      </c>
      <c r="H18" s="124">
        <v>1</v>
      </c>
      <c r="I18" s="124">
        <v>1</v>
      </c>
      <c r="J18" s="124">
        <v>1</v>
      </c>
      <c r="K18" s="124">
        <v>0</v>
      </c>
      <c r="L18" s="124">
        <v>1</v>
      </c>
      <c r="M18" s="124">
        <v>1</v>
      </c>
      <c r="N18" s="124">
        <v>1</v>
      </c>
      <c r="O18" s="124">
        <v>1</v>
      </c>
      <c r="P18" s="125">
        <f t="shared" si="0"/>
        <v>13</v>
      </c>
      <c r="Q18" s="126">
        <f t="shared" si="1"/>
        <v>0.8666666666666667</v>
      </c>
    </row>
    <row r="19" spans="1:17" x14ac:dyDescent="0.25">
      <c r="A19" s="123" t="str">
        <f>(IF(Info!$B16&lt;&gt;"",Info!$B16,""))</f>
        <v>Paul Blair</v>
      </c>
      <c r="B19" s="124">
        <v>1</v>
      </c>
      <c r="C19" s="124">
        <v>1</v>
      </c>
      <c r="D19" s="124">
        <v>1</v>
      </c>
      <c r="E19" s="124">
        <v>1</v>
      </c>
      <c r="F19" s="124">
        <v>1</v>
      </c>
      <c r="G19" s="124">
        <v>1</v>
      </c>
      <c r="H19" s="124">
        <v>1</v>
      </c>
      <c r="I19" s="124">
        <v>1</v>
      </c>
      <c r="J19" s="124">
        <v>1</v>
      </c>
      <c r="K19" s="124">
        <v>1</v>
      </c>
      <c r="L19" s="124">
        <v>1</v>
      </c>
      <c r="M19" s="124">
        <v>1</v>
      </c>
      <c r="N19" s="124">
        <v>1</v>
      </c>
      <c r="O19" s="124">
        <v>1</v>
      </c>
      <c r="P19" s="125">
        <f t="shared" si="0"/>
        <v>14</v>
      </c>
      <c r="Q19" s="126">
        <f t="shared" si="1"/>
        <v>0.93333333333333335</v>
      </c>
    </row>
    <row r="20" spans="1:17" x14ac:dyDescent="0.25">
      <c r="A20" s="123" t="str">
        <f>(IF(Info!$B17&lt;&gt;"",Info!$B17,""))</f>
        <v>Mark Belanger</v>
      </c>
      <c r="B20" s="124">
        <v>1</v>
      </c>
      <c r="C20" s="124">
        <v>1</v>
      </c>
      <c r="D20" s="124">
        <v>0</v>
      </c>
      <c r="E20" s="124">
        <v>1</v>
      </c>
      <c r="F20" s="124">
        <v>1</v>
      </c>
      <c r="G20" s="124">
        <v>1</v>
      </c>
      <c r="H20" s="124">
        <v>1</v>
      </c>
      <c r="I20" s="124">
        <v>1</v>
      </c>
      <c r="J20" s="124">
        <v>1</v>
      </c>
      <c r="K20" s="124">
        <v>1</v>
      </c>
      <c r="L20" s="124">
        <v>1</v>
      </c>
      <c r="M20" s="124">
        <v>1</v>
      </c>
      <c r="N20" s="124">
        <v>1</v>
      </c>
      <c r="O20" s="124">
        <v>1</v>
      </c>
      <c r="P20" s="125">
        <f t="shared" si="0"/>
        <v>13</v>
      </c>
      <c r="Q20" s="126">
        <f t="shared" si="1"/>
        <v>0.8666666666666667</v>
      </c>
    </row>
    <row r="21" spans="1:17" x14ac:dyDescent="0.25">
      <c r="A21" s="123" t="str">
        <f>(IF(Info!$B18&lt;&gt;"",Info!$B18,""))</f>
        <v>Davey Johnson</v>
      </c>
      <c r="B21" s="124">
        <v>1</v>
      </c>
      <c r="C21" s="124">
        <v>1</v>
      </c>
      <c r="D21" s="124">
        <v>0</v>
      </c>
      <c r="E21" s="124">
        <v>1</v>
      </c>
      <c r="F21" s="124">
        <v>0</v>
      </c>
      <c r="G21" s="124">
        <v>1</v>
      </c>
      <c r="H21" s="124">
        <v>1</v>
      </c>
      <c r="I21" s="124">
        <v>1</v>
      </c>
      <c r="J21" s="124">
        <v>1</v>
      </c>
      <c r="K21" s="124">
        <v>1</v>
      </c>
      <c r="L21" s="124">
        <v>1</v>
      </c>
      <c r="M21" s="124">
        <v>1</v>
      </c>
      <c r="N21" s="124">
        <v>1</v>
      </c>
      <c r="O21" s="124">
        <v>0</v>
      </c>
      <c r="P21" s="125">
        <f t="shared" si="0"/>
        <v>11</v>
      </c>
      <c r="Q21" s="126">
        <f t="shared" si="1"/>
        <v>0.73333333333333328</v>
      </c>
    </row>
    <row r="22" spans="1:17" x14ac:dyDescent="0.25">
      <c r="A22" s="123" t="str">
        <f>(IF(Info!$B19&lt;&gt;"",Info!$B19,""))</f>
        <v>Miguel Tejada</v>
      </c>
      <c r="B22" s="124">
        <v>1</v>
      </c>
      <c r="C22" s="124">
        <v>1</v>
      </c>
      <c r="D22" s="124">
        <v>1</v>
      </c>
      <c r="E22" s="124">
        <v>1</v>
      </c>
      <c r="F22" s="124">
        <v>1</v>
      </c>
      <c r="G22" s="124">
        <v>1</v>
      </c>
      <c r="H22" s="124">
        <v>1</v>
      </c>
      <c r="I22" s="124">
        <v>1</v>
      </c>
      <c r="J22" s="124">
        <v>1</v>
      </c>
      <c r="K22" s="124">
        <v>1</v>
      </c>
      <c r="L22" s="124">
        <v>0</v>
      </c>
      <c r="M22" s="124">
        <v>0</v>
      </c>
      <c r="N22" s="124">
        <v>1</v>
      </c>
      <c r="O22" s="124">
        <v>1</v>
      </c>
      <c r="P22" s="125">
        <f t="shared" si="0"/>
        <v>12</v>
      </c>
      <c r="Q22" s="126">
        <f t="shared" si="1"/>
        <v>0.8</v>
      </c>
    </row>
    <row r="23" spans="1:17" x14ac:dyDescent="0.25">
      <c r="A23" s="123" t="str">
        <f>(IF(Info!$B20&lt;&gt;"",Info!$B20,""))</f>
        <v>Adam Jones</v>
      </c>
      <c r="B23" s="124">
        <v>1</v>
      </c>
      <c r="C23" s="124">
        <v>1</v>
      </c>
      <c r="D23" s="124">
        <v>1</v>
      </c>
      <c r="E23" s="124">
        <v>1</v>
      </c>
      <c r="F23" s="124">
        <v>0</v>
      </c>
      <c r="G23" s="124">
        <v>1</v>
      </c>
      <c r="H23" s="124">
        <v>1</v>
      </c>
      <c r="I23" s="124">
        <v>1</v>
      </c>
      <c r="J23" s="124">
        <v>1</v>
      </c>
      <c r="K23" s="124">
        <v>1</v>
      </c>
      <c r="L23" s="124">
        <v>1</v>
      </c>
      <c r="M23" s="124">
        <v>1</v>
      </c>
      <c r="N23" s="124">
        <v>1</v>
      </c>
      <c r="O23" s="124">
        <v>1</v>
      </c>
      <c r="P23" s="125">
        <f t="shared" si="0"/>
        <v>13</v>
      </c>
      <c r="Q23" s="126">
        <f t="shared" si="1"/>
        <v>0.8666666666666667</v>
      </c>
    </row>
    <row r="24" spans="1:17" x14ac:dyDescent="0.25">
      <c r="A24" s="123" t="str">
        <f>(IF(Info!$B21&lt;&gt;"",Info!$B21,""))</f>
        <v/>
      </c>
      <c r="B24" s="124">
        <v>1</v>
      </c>
      <c r="C24" s="124">
        <v>1</v>
      </c>
      <c r="D24" s="124">
        <v>1</v>
      </c>
      <c r="E24" s="124">
        <v>1</v>
      </c>
      <c r="F24" s="124">
        <v>1</v>
      </c>
      <c r="G24" s="124">
        <v>1</v>
      </c>
      <c r="H24" s="124">
        <v>1</v>
      </c>
      <c r="I24" s="124">
        <v>1</v>
      </c>
      <c r="J24" s="124">
        <v>1</v>
      </c>
      <c r="K24" s="124">
        <v>1</v>
      </c>
      <c r="L24" s="124">
        <v>1</v>
      </c>
      <c r="M24" s="124">
        <v>1</v>
      </c>
      <c r="N24" s="124">
        <v>1</v>
      </c>
      <c r="O24" s="124">
        <v>1</v>
      </c>
      <c r="P24" s="125">
        <f t="shared" si="0"/>
        <v>14</v>
      </c>
      <c r="Q24" s="126">
        <f t="shared" si="1"/>
        <v>0.93333333333333335</v>
      </c>
    </row>
    <row r="25" spans="1:17" x14ac:dyDescent="0.25">
      <c r="A25" s="123" t="str">
        <f>(IF(Info!$B22&lt;&gt;"",Info!$B22,""))</f>
        <v/>
      </c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5" t="str">
        <f t="shared" si="0"/>
        <v/>
      </c>
      <c r="Q25" s="126" t="str">
        <f t="shared" si="1"/>
        <v/>
      </c>
    </row>
    <row r="26" spans="1:17" x14ac:dyDescent="0.25">
      <c r="A26" s="123" t="str">
        <f>(IF(Info!$B23&lt;&gt;"",Info!$B23,""))</f>
        <v/>
      </c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5" t="str">
        <f t="shared" si="0"/>
        <v/>
      </c>
      <c r="Q26" s="126" t="str">
        <f t="shared" si="1"/>
        <v/>
      </c>
    </row>
    <row r="27" spans="1:17" x14ac:dyDescent="0.25">
      <c r="A27" s="123" t="str">
        <f>(IF(Info!$B24&lt;&gt;"",Info!$B24,""))</f>
        <v/>
      </c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5" t="str">
        <f t="shared" si="0"/>
        <v/>
      </c>
      <c r="Q27" s="126" t="str">
        <f t="shared" si="1"/>
        <v/>
      </c>
    </row>
    <row r="28" spans="1:17" x14ac:dyDescent="0.25">
      <c r="A28" s="123" t="str">
        <f>(IF(Info!$B25&lt;&gt;"",Info!$B25,""))</f>
        <v/>
      </c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5" t="str">
        <f t="shared" si="0"/>
        <v/>
      </c>
      <c r="Q28" s="126" t="str">
        <f t="shared" si="1"/>
        <v/>
      </c>
    </row>
    <row r="29" spans="1:17" x14ac:dyDescent="0.25">
      <c r="A29" s="123" t="str">
        <f>(IF(Info!$B26&lt;&gt;"",Info!$B26,""))</f>
        <v/>
      </c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5" t="str">
        <f t="shared" si="0"/>
        <v/>
      </c>
      <c r="Q29" s="126" t="str">
        <f t="shared" si="1"/>
        <v/>
      </c>
    </row>
    <row r="30" spans="1:17" x14ac:dyDescent="0.25">
      <c r="A30" s="123" t="str">
        <f>(IF(Info!$B27&lt;&gt;"",Info!$B27,""))</f>
        <v/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5" t="str">
        <f t="shared" si="0"/>
        <v/>
      </c>
      <c r="Q30" s="126" t="str">
        <f t="shared" si="1"/>
        <v/>
      </c>
    </row>
    <row r="31" spans="1:17" x14ac:dyDescent="0.25">
      <c r="A31" s="123" t="str">
        <f>(IF(Info!$B28&lt;&gt;"",Info!$B28,""))</f>
        <v/>
      </c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5" t="str">
        <f t="shared" si="0"/>
        <v/>
      </c>
      <c r="Q31" s="126" t="str">
        <f t="shared" si="1"/>
        <v/>
      </c>
    </row>
    <row r="32" spans="1:17" x14ac:dyDescent="0.25">
      <c r="A32" s="123" t="str">
        <f>(IF(Info!$B29&lt;&gt;"",Info!$B29,""))</f>
        <v/>
      </c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5" t="str">
        <f t="shared" si="0"/>
        <v/>
      </c>
      <c r="Q32" s="126" t="str">
        <f t="shared" si="1"/>
        <v/>
      </c>
    </row>
    <row r="33" spans="1:17" x14ac:dyDescent="0.25">
      <c r="A33" s="123" t="str">
        <f>(IF(Info!$B30&lt;&gt;"",Info!$B30,""))</f>
        <v/>
      </c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5" t="str">
        <f t="shared" si="0"/>
        <v/>
      </c>
      <c r="Q33" s="126" t="str">
        <f t="shared" si="1"/>
        <v/>
      </c>
    </row>
    <row r="34" spans="1:17" x14ac:dyDescent="0.25">
      <c r="A34" s="123" t="str">
        <f>(IF(Info!$B31&lt;&gt;"",Info!$B31,""))</f>
        <v/>
      </c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5" t="str">
        <f t="shared" si="0"/>
        <v/>
      </c>
      <c r="Q34" s="126" t="str">
        <f t="shared" si="1"/>
        <v/>
      </c>
    </row>
    <row r="35" spans="1:17" x14ac:dyDescent="0.25">
      <c r="A35" s="123" t="str">
        <f>(IF(Info!$B32&lt;&gt;"",Info!$B32,""))</f>
        <v/>
      </c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5" t="str">
        <f t="shared" si="0"/>
        <v/>
      </c>
      <c r="Q35" s="126" t="str">
        <f t="shared" si="1"/>
        <v/>
      </c>
    </row>
    <row r="36" spans="1:17" x14ac:dyDescent="0.25">
      <c r="A36" s="123" t="str">
        <f>(IF(Info!$B33&lt;&gt;"",Info!$B33,""))</f>
        <v/>
      </c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5" t="str">
        <f t="shared" si="0"/>
        <v/>
      </c>
      <c r="Q36" s="126" t="str">
        <f t="shared" si="1"/>
        <v/>
      </c>
    </row>
    <row r="37" spans="1:17" x14ac:dyDescent="0.25">
      <c r="A37" s="123" t="str">
        <f>(IF(Info!$B34&lt;&gt;"",Info!$B34,""))</f>
        <v/>
      </c>
      <c r="B37" s="124"/>
      <c r="C37" s="124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5" t="str">
        <f t="shared" si="0"/>
        <v/>
      </c>
      <c r="Q37" s="126" t="str">
        <f t="shared" si="1"/>
        <v/>
      </c>
    </row>
    <row r="38" spans="1:17" x14ac:dyDescent="0.25">
      <c r="A38" s="123" t="str">
        <f>(IF(Info!$B35&lt;&gt;"",Info!$B35,""))</f>
        <v/>
      </c>
      <c r="B38" s="124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5" t="str">
        <f t="shared" si="0"/>
        <v/>
      </c>
      <c r="Q38" s="126" t="str">
        <f t="shared" si="1"/>
        <v/>
      </c>
    </row>
    <row r="39" spans="1:17" x14ac:dyDescent="0.25">
      <c r="A39" s="123" t="str">
        <f>(IF(Info!$B36&lt;&gt;"",Info!$B36,""))</f>
        <v/>
      </c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5" t="str">
        <f t="shared" si="0"/>
        <v/>
      </c>
      <c r="Q39" s="126" t="str">
        <f t="shared" si="1"/>
        <v/>
      </c>
    </row>
    <row r="40" spans="1:17" x14ac:dyDescent="0.25">
      <c r="A40" s="123" t="str">
        <f>(IF(Info!$B37&lt;&gt;"",Info!$B37,""))</f>
        <v/>
      </c>
      <c r="B40" s="124"/>
      <c r="C40" s="124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5" t="str">
        <f t="shared" si="0"/>
        <v/>
      </c>
      <c r="Q40" s="126" t="str">
        <f t="shared" si="1"/>
        <v/>
      </c>
    </row>
    <row r="41" spans="1:17" x14ac:dyDescent="0.25">
      <c r="A41" s="123" t="str">
        <f>(IF(Info!$B38&lt;&gt;"",Info!$B38,""))</f>
        <v/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5" t="str">
        <f t="shared" si="0"/>
        <v/>
      </c>
      <c r="Q41" s="126" t="str">
        <f t="shared" si="1"/>
        <v/>
      </c>
    </row>
    <row r="42" spans="1:17" x14ac:dyDescent="0.25">
      <c r="A42" s="123" t="str">
        <f>(IF(Info!$B39&lt;&gt;"",Info!$B39,""))</f>
        <v/>
      </c>
      <c r="B42" s="124"/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5" t="str">
        <f t="shared" si="0"/>
        <v/>
      </c>
      <c r="Q42" s="126" t="str">
        <f t="shared" si="1"/>
        <v/>
      </c>
    </row>
    <row r="43" spans="1:17" x14ac:dyDescent="0.25">
      <c r="A43" s="123" t="str">
        <f>(IF(Info!$B40&lt;&gt;"",Info!$B40,""))</f>
        <v/>
      </c>
      <c r="B43" s="124"/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5" t="str">
        <f t="shared" si="0"/>
        <v/>
      </c>
      <c r="Q43" s="126" t="str">
        <f t="shared" si="1"/>
        <v/>
      </c>
    </row>
    <row r="44" spans="1:17" x14ac:dyDescent="0.25">
      <c r="A44" s="123" t="str">
        <f>(IF(Info!$B41&lt;&gt;"",Info!$B41,""))</f>
        <v/>
      </c>
      <c r="B44" s="124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5" t="str">
        <f t="shared" si="0"/>
        <v/>
      </c>
      <c r="Q44" s="126" t="str">
        <f t="shared" si="1"/>
        <v/>
      </c>
    </row>
    <row r="45" spans="1:17" x14ac:dyDescent="0.25">
      <c r="A45" s="123" t="str">
        <f>(IF(Info!$B42&lt;&gt;"",Info!$B42,""))</f>
        <v/>
      </c>
      <c r="B45" s="124"/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5" t="str">
        <f t="shared" si="0"/>
        <v/>
      </c>
      <c r="Q45" s="126" t="str">
        <f t="shared" si="1"/>
        <v/>
      </c>
    </row>
    <row r="46" spans="1:17" x14ac:dyDescent="0.25">
      <c r="A46" s="123" t="str">
        <f>(IF(Info!$B43&lt;&gt;"",Info!$B43,""))</f>
        <v/>
      </c>
      <c r="B46" s="124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5" t="str">
        <f t="shared" si="0"/>
        <v/>
      </c>
      <c r="Q46" s="126" t="str">
        <f t="shared" si="1"/>
        <v/>
      </c>
    </row>
    <row r="47" spans="1:17" x14ac:dyDescent="0.25">
      <c r="A47" s="123" t="str">
        <f>(IF(Info!$B44&lt;&gt;"",Info!$B44,""))</f>
        <v/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5" t="str">
        <f t="shared" si="0"/>
        <v/>
      </c>
      <c r="Q47" s="126" t="str">
        <f t="shared" si="1"/>
        <v/>
      </c>
    </row>
    <row r="48" spans="1:17" x14ac:dyDescent="0.25">
      <c r="A48" s="123" t="str">
        <f>(IF(Info!$B45&lt;&gt;"",Info!$B45,""))</f>
        <v/>
      </c>
      <c r="B48" s="124"/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5" t="str">
        <f t="shared" si="0"/>
        <v/>
      </c>
      <c r="Q48" s="126" t="str">
        <f t="shared" si="1"/>
        <v/>
      </c>
    </row>
    <row r="49" spans="1:17" x14ac:dyDescent="0.25">
      <c r="A49" s="123" t="str">
        <f>(IF(Info!$B46&lt;&gt;"",Info!$B46,""))</f>
        <v/>
      </c>
      <c r="B49" s="124"/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5" t="str">
        <f t="shared" si="0"/>
        <v/>
      </c>
      <c r="Q49" s="126" t="str">
        <f t="shared" si="1"/>
        <v/>
      </c>
    </row>
    <row r="50" spans="1:17" x14ac:dyDescent="0.25">
      <c r="A50" s="123" t="str">
        <f>(IF(Info!$B47&lt;&gt;"",Info!$B47,""))</f>
        <v/>
      </c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5" t="str">
        <f t="shared" si="0"/>
        <v/>
      </c>
      <c r="Q50" s="126" t="str">
        <f t="shared" si="1"/>
        <v/>
      </c>
    </row>
    <row r="51" spans="1:17" x14ac:dyDescent="0.25">
      <c r="A51" s="123" t="str">
        <f>(IF(Info!$B48&lt;&gt;"",Info!$B48,""))</f>
        <v/>
      </c>
      <c r="B51" s="124"/>
      <c r="C51" s="124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5" t="str">
        <f>IF(COUNTA(B51:O51)=0,"",SUM(B51:O51))</f>
        <v/>
      </c>
      <c r="Q51" s="126" t="str">
        <f t="shared" si="1"/>
        <v/>
      </c>
    </row>
    <row r="52" spans="1:17" x14ac:dyDescent="0.25">
      <c r="B52" s="177"/>
      <c r="C52" s="177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</row>
    <row r="53" spans="1:17" x14ac:dyDescent="0.25">
      <c r="B53" s="177"/>
      <c r="C53" s="177"/>
      <c r="D53" s="177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</row>
    <row r="54" spans="1:17" x14ac:dyDescent="0.25">
      <c r="B54" s="177"/>
      <c r="C54" s="177"/>
      <c r="D54" s="177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</row>
    <row r="55" spans="1:17" x14ac:dyDescent="0.25">
      <c r="B55" s="177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</row>
    <row r="56" spans="1:17" x14ac:dyDescent="0.25">
      <c r="B56" s="177"/>
      <c r="C56" s="177"/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</row>
    <row r="57" spans="1:17" x14ac:dyDescent="0.25">
      <c r="B57" s="177"/>
      <c r="C57" s="177"/>
      <c r="D57" s="177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</row>
    <row r="58" spans="1:17" x14ac:dyDescent="0.25">
      <c r="B58" s="177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</row>
    <row r="59" spans="1:17" x14ac:dyDescent="0.25">
      <c r="B59" s="177"/>
      <c r="C59" s="177"/>
      <c r="D59" s="177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</row>
    <row r="60" spans="1:17" x14ac:dyDescent="0.25">
      <c r="B60" s="177"/>
      <c r="C60" s="177"/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</row>
    <row r="61" spans="1:17" x14ac:dyDescent="0.25">
      <c r="B61" s="177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</row>
    <row r="62" spans="1:17" x14ac:dyDescent="0.25">
      <c r="B62" s="177"/>
      <c r="C62" s="177"/>
      <c r="D62" s="177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</row>
    <row r="63" spans="1:17" x14ac:dyDescent="0.25">
      <c r="B63" s="177"/>
      <c r="C63" s="177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</row>
    <row r="64" spans="1:17" x14ac:dyDescent="0.25">
      <c r="B64" s="177"/>
      <c r="C64" s="177"/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</row>
    <row r="65" spans="2:15" x14ac:dyDescent="0.25">
      <c r="B65" s="177"/>
      <c r="C65" s="177"/>
      <c r="D65" s="177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</row>
    <row r="66" spans="2:15" x14ac:dyDescent="0.25">
      <c r="B66" s="177"/>
      <c r="C66" s="177"/>
      <c r="D66" s="177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</row>
    <row r="67" spans="2:15" x14ac:dyDescent="0.25">
      <c r="B67" s="177"/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</row>
    <row r="68" spans="2:15" x14ac:dyDescent="0.25"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</row>
    <row r="69" spans="2:15" x14ac:dyDescent="0.25">
      <c r="B69" s="177"/>
      <c r="C69" s="177"/>
      <c r="D69" s="177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</row>
    <row r="70" spans="2:15" x14ac:dyDescent="0.25">
      <c r="B70" s="177"/>
      <c r="C70" s="177"/>
      <c r="D70" s="177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</row>
    <row r="71" spans="2:15" x14ac:dyDescent="0.25">
      <c r="B71" s="177"/>
      <c r="C71" s="177"/>
      <c r="D71" s="177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</row>
    <row r="72" spans="2:15" x14ac:dyDescent="0.25">
      <c r="B72" s="177"/>
      <c r="C72" s="177"/>
      <c r="D72" s="177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</row>
    <row r="73" spans="2:15" x14ac:dyDescent="0.25">
      <c r="B73" s="177"/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</row>
    <row r="74" spans="2:15" x14ac:dyDescent="0.25">
      <c r="B74" s="177"/>
      <c r="C74" s="177"/>
      <c r="D74" s="177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</row>
    <row r="75" spans="2:15" x14ac:dyDescent="0.25">
      <c r="B75" s="177"/>
      <c r="C75" s="177"/>
      <c r="D75" s="177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</row>
    <row r="76" spans="2:15" x14ac:dyDescent="0.25">
      <c r="B76" s="177"/>
      <c r="C76" s="177"/>
      <c r="D76" s="177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</row>
    <row r="77" spans="2:15" x14ac:dyDescent="0.25">
      <c r="B77" s="177"/>
      <c r="C77" s="177"/>
      <c r="D77" s="177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</row>
    <row r="78" spans="2:15" x14ac:dyDescent="0.25">
      <c r="B78" s="177"/>
      <c r="C78" s="177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</row>
    <row r="79" spans="2:15" x14ac:dyDescent="0.25">
      <c r="B79" s="177"/>
      <c r="C79" s="177"/>
      <c r="D79" s="177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</row>
    <row r="80" spans="2:15" x14ac:dyDescent="0.25">
      <c r="B80" s="177"/>
      <c r="C80" s="177"/>
      <c r="D80" s="177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</row>
    <row r="81" spans="2:15" x14ac:dyDescent="0.25">
      <c r="B81" s="177"/>
      <c r="C81" s="177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</row>
    <row r="82" spans="2:15" x14ac:dyDescent="0.25"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</row>
    <row r="83" spans="2:15" x14ac:dyDescent="0.25">
      <c r="B83" s="177"/>
      <c r="C83" s="177"/>
      <c r="D83" s="177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</row>
    <row r="84" spans="2:15" x14ac:dyDescent="0.25">
      <c r="B84" s="177"/>
      <c r="C84" s="177"/>
      <c r="D84" s="177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</row>
    <row r="85" spans="2:15" x14ac:dyDescent="0.25">
      <c r="B85" s="177"/>
      <c r="C85" s="177"/>
      <c r="D85" s="177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</row>
    <row r="86" spans="2:15" x14ac:dyDescent="0.25">
      <c r="B86" s="177"/>
      <c r="C86" s="177"/>
      <c r="D86" s="177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</row>
    <row r="87" spans="2:15" x14ac:dyDescent="0.25">
      <c r="B87" s="177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</row>
    <row r="88" spans="2:15" x14ac:dyDescent="0.25">
      <c r="B88" s="177"/>
      <c r="C88" s="177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</row>
    <row r="89" spans="2:15" x14ac:dyDescent="0.25">
      <c r="B89" s="177"/>
      <c r="C89" s="177"/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</row>
    <row r="119" spans="16:16" x14ac:dyDescent="0.25">
      <c r="P119" s="157"/>
    </row>
    <row r="120" spans="16:16" x14ac:dyDescent="0.25">
      <c r="P120" s="157"/>
    </row>
    <row r="121" spans="16:16" x14ac:dyDescent="0.25">
      <c r="P121" s="157"/>
    </row>
    <row r="122" spans="16:16" x14ac:dyDescent="0.25">
      <c r="P122" s="157"/>
    </row>
    <row r="123" spans="16:16" x14ac:dyDescent="0.25">
      <c r="P123" s="157"/>
    </row>
    <row r="124" spans="16:16" x14ac:dyDescent="0.25">
      <c r="P124" s="157"/>
    </row>
    <row r="125" spans="16:16" x14ac:dyDescent="0.25">
      <c r="P125" s="157"/>
    </row>
  </sheetData>
  <sheetProtection selectLockedCells="1"/>
  <mergeCells count="5">
    <mergeCell ref="B1:C1"/>
    <mergeCell ref="P2:Q2"/>
    <mergeCell ref="K1:P1"/>
    <mergeCell ref="B2:O2"/>
    <mergeCell ref="E1:J1"/>
  </mergeCells>
  <phoneticPr fontId="1" type="noConversion"/>
  <conditionalFormatting sqref="Q1">
    <cfRule type="cellIs" dxfId="137" priority="3519" stopIfTrue="1" operator="greaterThanOrEqual">
      <formula>0.85</formula>
    </cfRule>
    <cfRule type="cellIs" dxfId="136" priority="3520" stopIfTrue="1" operator="lessThan">
      <formula>0.85</formula>
    </cfRule>
  </conditionalFormatting>
  <conditionalFormatting sqref="G6:G51">
    <cfRule type="expression" dxfId="135" priority="31">
      <formula>COUNTA(G6)&gt;0</formula>
    </cfRule>
    <cfRule type="colorScale" priority="32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:H51">
    <cfRule type="expression" dxfId="134" priority="29">
      <formula>COUNTA(H6)&gt;0</formula>
    </cfRule>
    <cfRule type="colorScale" priority="30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6:I51">
    <cfRule type="expression" dxfId="133" priority="27">
      <formula>COUNTA(I6)&gt;0</formula>
    </cfRule>
    <cfRule type="colorScale" priority="28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6:J51">
    <cfRule type="expression" dxfId="132" priority="25">
      <formula>COUNTA(J6)&gt;0</formula>
    </cfRule>
    <cfRule type="colorScale" priority="26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6:K51">
    <cfRule type="expression" dxfId="131" priority="23">
      <formula>COUNTA(K6)&gt;0</formula>
    </cfRule>
    <cfRule type="colorScale" priority="24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6:L51">
    <cfRule type="expression" dxfId="130" priority="21">
      <formula>COUNTA(L6)&gt;0</formula>
    </cfRule>
    <cfRule type="colorScale" priority="22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6:M51">
    <cfRule type="expression" dxfId="129" priority="19">
      <formula>COUNTA(M6)&gt;0</formula>
    </cfRule>
    <cfRule type="colorScale" priority="20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6:N51">
    <cfRule type="expression" dxfId="128" priority="17">
      <formula>COUNTA(N6)&gt;0</formula>
    </cfRule>
    <cfRule type="colorScale" priority="18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6:O51">
    <cfRule type="expression" dxfId="127" priority="15">
      <formula>COUNTA(O6)&gt;0</formula>
    </cfRule>
    <cfRule type="colorScale" priority="16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B6:B51">
    <cfRule type="expression" dxfId="126" priority="13">
      <formula>COUNTA(B6)&gt;0</formula>
    </cfRule>
    <cfRule type="colorScale" priority="14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:C51">
    <cfRule type="expression" dxfId="125" priority="11">
      <formula>COUNTA(C6)&gt;0</formula>
    </cfRule>
    <cfRule type="colorScale" priority="12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E6:E51">
    <cfRule type="expression" dxfId="124" priority="9">
      <formula>COUNTA(E6)&gt;0</formula>
    </cfRule>
    <cfRule type="colorScale" priority="10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:D51">
    <cfRule type="expression" dxfId="123" priority="7">
      <formula>COUNTA(D6)&gt;0</formula>
    </cfRule>
    <cfRule type="colorScale" priority="8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F6:F51">
    <cfRule type="expression" dxfId="122" priority="5">
      <formula>COUNTA(F6)&gt;0</formula>
    </cfRule>
    <cfRule type="colorScale" priority="6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Q6:Q51">
    <cfRule type="colorScale" priority="3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121" priority="4">
      <formula>ISNUMBER(Q6)</formula>
    </cfRule>
  </conditionalFormatting>
  <conditionalFormatting sqref="P6:P51">
    <cfRule type="colorScale" priority="1">
      <colorScale>
        <cfvo type="num" val="0"/>
        <cfvo type="num" val="$P$4/2"/>
        <cfvo type="num" val="$P$4"/>
        <color rgb="FFEA4C4C"/>
        <color rgb="FFFFEB84"/>
        <color theme="6" tint="-0.249977111117893"/>
      </colorScale>
    </cfRule>
    <cfRule type="expression" dxfId="120" priority="2">
      <formula>ISNUMBER(P6)</formula>
    </cfRule>
  </conditionalFormatting>
  <printOptions horizontalCentered="1" gridLines="1"/>
  <pageMargins left="0.48" right="0.31" top="1.25" bottom="1" header="0.5" footer="0.5"/>
  <pageSetup scale="96" orientation="landscape" r:id="rId1"/>
  <headerFooter alignWithMargins="0">
    <oddHeader>&amp;C&amp;"Times New Roman,Bold"&amp;12Mathematics
Skills Analysis Sheet for Data Analysis
Grade 1, &amp;A</oddHeader>
    <oddFooter>&amp;L&amp;"Times New Roman"&amp;8Grade 2, &amp;A
Place Value to 100 and Money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9" stopIfTrue="1" id="{F48A16DC-E2CD-4F09-A020-70E444CBAFF1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66"/>
  <sheetViews>
    <sheetView zoomScaleNormal="100" workbookViewId="0">
      <selection activeCell="B6" sqref="B6"/>
    </sheetView>
  </sheetViews>
  <sheetFormatPr defaultColWidth="9.140625" defaultRowHeight="15.75" x14ac:dyDescent="0.25"/>
  <cols>
    <col min="1" max="1" width="26.42578125" style="127" bestFit="1" customWidth="1"/>
    <col min="2" max="2" width="4" style="127" customWidth="1"/>
    <col min="3" max="3" width="3.85546875" style="127" customWidth="1"/>
    <col min="4" max="4" width="6.5703125" style="127" customWidth="1"/>
    <col min="5" max="5" width="3.5703125" style="127" customWidth="1"/>
    <col min="6" max="6" width="2" style="127" customWidth="1"/>
    <col min="7" max="7" width="2.42578125" style="127" customWidth="1"/>
    <col min="8" max="8" width="2" style="127" customWidth="1"/>
    <col min="9" max="10" width="2.140625" style="127" customWidth="1"/>
    <col min="11" max="11" width="3" style="127" customWidth="1"/>
    <col min="12" max="12" width="3.28515625" style="127" customWidth="1"/>
    <col min="13" max="13" width="3.85546875" style="127" customWidth="1"/>
    <col min="14" max="14" width="3.42578125" style="127" customWidth="1"/>
    <col min="15" max="15" width="3.5703125" style="127" customWidth="1"/>
    <col min="16" max="16" width="4.42578125" style="127" customWidth="1"/>
    <col min="17" max="17" width="3.7109375" style="127" customWidth="1"/>
    <col min="18" max="18" width="7.5703125" style="127" bestFit="1" customWidth="1"/>
    <col min="19" max="19" width="14.5703125" style="127" bestFit="1" customWidth="1"/>
    <col min="20" max="20" width="11.28515625" style="127" bestFit="1" customWidth="1"/>
    <col min="21" max="22" width="5.7109375" style="127" customWidth="1"/>
    <col min="23" max="23" width="8" style="157" customWidth="1"/>
    <col min="24" max="24" width="12.42578125" style="127" customWidth="1"/>
    <col min="25" max="25" width="20.7109375" style="127" bestFit="1" customWidth="1"/>
    <col min="26" max="27" width="9.140625" style="127"/>
    <col min="28" max="28" width="22" style="127" bestFit="1" customWidth="1"/>
    <col min="29" max="16384" width="9.140625" style="127"/>
  </cols>
  <sheetData>
    <row r="1" spans="1:23" s="183" customFormat="1" ht="39" customHeight="1" x14ac:dyDescent="0.25">
      <c r="A1" s="189" t="str">
        <f>IF(Info!B1&lt;&gt;0,Info!B1,"Please fill out info sheet")</f>
        <v>Ms. Johnston</v>
      </c>
      <c r="B1" s="114" t="s">
        <v>41</v>
      </c>
      <c r="C1" s="114"/>
      <c r="D1" s="152" t="s">
        <v>8</v>
      </c>
      <c r="E1" s="116" t="s">
        <v>36</v>
      </c>
      <c r="F1" s="117"/>
      <c r="G1" s="117"/>
      <c r="H1" s="118"/>
      <c r="I1" s="190" t="s">
        <v>37</v>
      </c>
      <c r="J1" s="190"/>
      <c r="K1" s="190"/>
      <c r="L1" s="190"/>
      <c r="M1" s="190"/>
      <c r="N1" s="190"/>
      <c r="O1" s="190"/>
      <c r="P1" s="190"/>
      <c r="Q1" s="190"/>
      <c r="R1" s="191"/>
      <c r="S1" s="168">
        <f>IF(COUNTA(class_list)&lt;&gt;0,(COUNTIF(S6:S50,"&gt;=.795"))/SUMPRODUCT(ISNUMBER(S6:S50)*1),"N/A")</f>
        <v>0.66666666666666663</v>
      </c>
      <c r="W1" s="127"/>
    </row>
    <row r="2" spans="1:23" s="127" customFormat="1" ht="76.5" customHeight="1" x14ac:dyDescent="0.25">
      <c r="A2" s="152" t="s">
        <v>1</v>
      </c>
      <c r="B2" s="192" t="s">
        <v>46</v>
      </c>
      <c r="C2" s="192"/>
      <c r="D2" s="192"/>
      <c r="E2" s="192"/>
      <c r="F2" s="192" t="s">
        <v>47</v>
      </c>
      <c r="G2" s="192"/>
      <c r="H2" s="192"/>
      <c r="I2" s="192"/>
      <c r="J2" s="192"/>
      <c r="K2" s="192"/>
      <c r="L2" s="192"/>
      <c r="M2" s="192" t="s">
        <v>48</v>
      </c>
      <c r="N2" s="192"/>
      <c r="O2" s="192"/>
      <c r="P2" s="193"/>
      <c r="Q2" s="194"/>
      <c r="R2" s="195" t="s">
        <v>31</v>
      </c>
      <c r="S2" s="196"/>
    </row>
    <row r="3" spans="1:23" s="127" customFormat="1" ht="16.5" customHeight="1" x14ac:dyDescent="0.25">
      <c r="A3" s="142" t="s">
        <v>2</v>
      </c>
      <c r="B3" s="142">
        <v>1</v>
      </c>
      <c r="C3" s="142">
        <v>2</v>
      </c>
      <c r="D3" s="142">
        <v>3</v>
      </c>
      <c r="E3" s="142">
        <v>4</v>
      </c>
      <c r="F3" s="142">
        <v>5</v>
      </c>
      <c r="G3" s="142">
        <v>6</v>
      </c>
      <c r="H3" s="142">
        <v>7</v>
      </c>
      <c r="I3" s="142">
        <v>8</v>
      </c>
      <c r="J3" s="142">
        <v>9</v>
      </c>
      <c r="K3" s="142">
        <v>10</v>
      </c>
      <c r="L3" s="142">
        <v>11</v>
      </c>
      <c r="M3" s="142">
        <v>12</v>
      </c>
      <c r="N3" s="142">
        <v>13</v>
      </c>
      <c r="O3" s="142">
        <v>14</v>
      </c>
      <c r="P3" s="142">
        <v>15</v>
      </c>
      <c r="Q3" s="142">
        <v>16</v>
      </c>
      <c r="R3" s="142" t="s">
        <v>4</v>
      </c>
      <c r="S3" s="142" t="s">
        <v>17</v>
      </c>
    </row>
    <row r="4" spans="1:23" s="127" customFormat="1" ht="14.1" customHeight="1" x14ac:dyDescent="0.25">
      <c r="A4" s="142" t="s">
        <v>3</v>
      </c>
      <c r="B4" s="188">
        <v>1</v>
      </c>
      <c r="C4" s="180">
        <v>1</v>
      </c>
      <c r="D4" s="188">
        <v>1</v>
      </c>
      <c r="E4" s="188">
        <v>1</v>
      </c>
      <c r="F4" s="188">
        <v>1</v>
      </c>
      <c r="G4" s="188">
        <v>2</v>
      </c>
      <c r="H4" s="188">
        <v>2</v>
      </c>
      <c r="I4" s="188">
        <v>2</v>
      </c>
      <c r="J4" s="188">
        <v>1</v>
      </c>
      <c r="K4" s="188">
        <v>1</v>
      </c>
      <c r="L4" s="188">
        <v>1</v>
      </c>
      <c r="M4" s="188">
        <v>1</v>
      </c>
      <c r="N4" s="188">
        <v>1</v>
      </c>
      <c r="O4" s="180">
        <v>1</v>
      </c>
      <c r="P4" s="180">
        <v>1</v>
      </c>
      <c r="Q4" s="188">
        <v>1</v>
      </c>
      <c r="R4" s="142">
        <f>SUM(B4:Q4)</f>
        <v>19</v>
      </c>
      <c r="S4" s="142"/>
    </row>
    <row r="5" spans="1:23" s="127" customFormat="1" x14ac:dyDescent="0.25">
      <c r="A5" s="122" t="s">
        <v>0</v>
      </c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</row>
    <row r="6" spans="1:23" s="127" customFormat="1" x14ac:dyDescent="0.25">
      <c r="A6" s="123" t="str">
        <f>(IF(Info!$B3&lt;&gt;"",Info!$B3,""))</f>
        <v>Cal Ripkin</v>
      </c>
      <c r="B6" s="124">
        <v>1</v>
      </c>
      <c r="C6" s="124">
        <v>1</v>
      </c>
      <c r="D6" s="124">
        <v>1</v>
      </c>
      <c r="E6" s="124">
        <v>1</v>
      </c>
      <c r="F6" s="124">
        <v>1</v>
      </c>
      <c r="G6" s="124">
        <v>2</v>
      </c>
      <c r="H6" s="124">
        <v>1</v>
      </c>
      <c r="I6" s="124">
        <v>0</v>
      </c>
      <c r="J6" s="124">
        <v>1</v>
      </c>
      <c r="K6" s="124">
        <v>1</v>
      </c>
      <c r="L6" s="124">
        <v>1</v>
      </c>
      <c r="M6" s="124">
        <v>1</v>
      </c>
      <c r="N6" s="124">
        <v>0</v>
      </c>
      <c r="O6" s="124">
        <v>1</v>
      </c>
      <c r="P6" s="124">
        <v>1</v>
      </c>
      <c r="Q6" s="124">
        <v>1</v>
      </c>
      <c r="R6" s="125">
        <f t="shared" ref="R6:R51" si="0">IF(COUNTA(B6:Q6)=0,"",SUM(B6:Q6))</f>
        <v>15</v>
      </c>
      <c r="S6" s="126">
        <f t="shared" ref="S6:S51" si="1">IF(COUNTA(B6:Q6)=0,"",SUM(B6:Q6)/$R$4)</f>
        <v>0.78947368421052633</v>
      </c>
    </row>
    <row r="7" spans="1:23" s="127" customFormat="1" x14ac:dyDescent="0.25">
      <c r="A7" s="123" t="str">
        <f>(IF(Info!$B4&lt;&gt;"",Info!$B4,""))</f>
        <v>Brooks Robinson</v>
      </c>
      <c r="B7" s="124">
        <v>1</v>
      </c>
      <c r="C7" s="124">
        <v>1</v>
      </c>
      <c r="D7" s="124">
        <v>1</v>
      </c>
      <c r="E7" s="124">
        <v>1</v>
      </c>
      <c r="F7" s="124">
        <v>1</v>
      </c>
      <c r="G7" s="124">
        <v>2</v>
      </c>
      <c r="H7" s="124">
        <v>2</v>
      </c>
      <c r="I7" s="124">
        <v>1</v>
      </c>
      <c r="J7" s="124">
        <v>1</v>
      </c>
      <c r="K7" s="124">
        <v>1</v>
      </c>
      <c r="L7" s="124">
        <v>1</v>
      </c>
      <c r="M7" s="124">
        <v>1</v>
      </c>
      <c r="N7" s="124">
        <v>1</v>
      </c>
      <c r="O7" s="124">
        <v>0</v>
      </c>
      <c r="P7" s="124">
        <v>0</v>
      </c>
      <c r="Q7" s="124">
        <v>1</v>
      </c>
      <c r="R7" s="125">
        <f t="shared" si="0"/>
        <v>16</v>
      </c>
      <c r="S7" s="126">
        <f t="shared" si="1"/>
        <v>0.84210526315789469</v>
      </c>
    </row>
    <row r="8" spans="1:23" s="127" customFormat="1" x14ac:dyDescent="0.25">
      <c r="A8" s="123" t="str">
        <f>(IF(Info!$B5&lt;&gt;"",Info!$B5,""))</f>
        <v>Frank Robinson</v>
      </c>
      <c r="B8" s="124">
        <v>1</v>
      </c>
      <c r="C8" s="124">
        <v>0</v>
      </c>
      <c r="D8" s="124">
        <v>1</v>
      </c>
      <c r="E8" s="124">
        <v>1</v>
      </c>
      <c r="F8" s="124">
        <v>1</v>
      </c>
      <c r="G8" s="124">
        <v>2</v>
      </c>
      <c r="H8" s="124">
        <v>2</v>
      </c>
      <c r="I8" s="124">
        <v>2</v>
      </c>
      <c r="J8" s="124">
        <v>1</v>
      </c>
      <c r="K8" s="124">
        <v>1</v>
      </c>
      <c r="L8" s="124">
        <v>1</v>
      </c>
      <c r="M8" s="124">
        <v>1</v>
      </c>
      <c r="N8" s="124">
        <v>1</v>
      </c>
      <c r="O8" s="124">
        <v>1</v>
      </c>
      <c r="P8" s="124">
        <v>1</v>
      </c>
      <c r="Q8" s="124">
        <v>1</v>
      </c>
      <c r="R8" s="125">
        <f t="shared" si="0"/>
        <v>18</v>
      </c>
      <c r="S8" s="126">
        <f t="shared" si="1"/>
        <v>0.94736842105263153</v>
      </c>
    </row>
    <row r="9" spans="1:23" s="127" customFormat="1" x14ac:dyDescent="0.25">
      <c r="A9" s="123" t="str">
        <f>(IF(Info!$B6&lt;&gt;"",Info!$B6,""))</f>
        <v>Jim Palmer</v>
      </c>
      <c r="B9" s="124">
        <v>1</v>
      </c>
      <c r="C9" s="124">
        <v>1</v>
      </c>
      <c r="D9" s="124">
        <v>1</v>
      </c>
      <c r="E9" s="124">
        <v>1</v>
      </c>
      <c r="F9" s="124">
        <v>1</v>
      </c>
      <c r="G9" s="124">
        <v>2</v>
      </c>
      <c r="H9" s="124">
        <v>2</v>
      </c>
      <c r="I9" s="124">
        <v>2</v>
      </c>
      <c r="J9" s="124">
        <v>1</v>
      </c>
      <c r="K9" s="124">
        <v>1</v>
      </c>
      <c r="L9" s="124">
        <v>1</v>
      </c>
      <c r="M9" s="124">
        <v>1</v>
      </c>
      <c r="N9" s="124">
        <v>1</v>
      </c>
      <c r="O9" s="124">
        <v>1</v>
      </c>
      <c r="P9" s="124">
        <v>1</v>
      </c>
      <c r="Q9" s="124">
        <v>1</v>
      </c>
      <c r="R9" s="125">
        <f t="shared" si="0"/>
        <v>19</v>
      </c>
      <c r="S9" s="126">
        <f t="shared" si="1"/>
        <v>1</v>
      </c>
    </row>
    <row r="10" spans="1:23" s="127" customFormat="1" x14ac:dyDescent="0.25">
      <c r="A10" s="123" t="str">
        <f>(IF(Info!$B7&lt;&gt;"",Info!$B7,""))</f>
        <v>Eddie Murray</v>
      </c>
      <c r="B10" s="124">
        <v>1</v>
      </c>
      <c r="C10" s="124">
        <v>1</v>
      </c>
      <c r="D10" s="124">
        <v>1</v>
      </c>
      <c r="E10" s="124">
        <v>1</v>
      </c>
      <c r="F10" s="124">
        <v>1</v>
      </c>
      <c r="G10" s="124">
        <v>1</v>
      </c>
      <c r="H10" s="124">
        <v>1</v>
      </c>
      <c r="I10" s="124">
        <v>1</v>
      </c>
      <c r="J10" s="124">
        <v>1</v>
      </c>
      <c r="K10" s="124">
        <v>0</v>
      </c>
      <c r="L10" s="124">
        <v>1</v>
      </c>
      <c r="M10" s="124">
        <v>1</v>
      </c>
      <c r="N10" s="124">
        <v>1</v>
      </c>
      <c r="O10" s="124">
        <v>0</v>
      </c>
      <c r="P10" s="124">
        <v>1</v>
      </c>
      <c r="Q10" s="124">
        <v>1</v>
      </c>
      <c r="R10" s="125">
        <f t="shared" si="0"/>
        <v>14</v>
      </c>
      <c r="S10" s="126">
        <f t="shared" si="1"/>
        <v>0.73684210526315785</v>
      </c>
    </row>
    <row r="11" spans="1:23" s="127" customFormat="1" x14ac:dyDescent="0.25">
      <c r="A11" s="123" t="s">
        <v>98</v>
      </c>
      <c r="B11" s="124">
        <v>1</v>
      </c>
      <c r="C11" s="124">
        <v>1</v>
      </c>
      <c r="D11" s="124">
        <v>1</v>
      </c>
      <c r="E11" s="124">
        <v>1</v>
      </c>
      <c r="F11" s="124">
        <v>1</v>
      </c>
      <c r="G11" s="124">
        <v>2</v>
      </c>
      <c r="H11" s="124">
        <v>2</v>
      </c>
      <c r="I11" s="124">
        <v>2</v>
      </c>
      <c r="J11" s="124">
        <v>1</v>
      </c>
      <c r="K11" s="124">
        <v>1</v>
      </c>
      <c r="L11" s="124">
        <v>1</v>
      </c>
      <c r="M11" s="124">
        <v>1</v>
      </c>
      <c r="N11" s="124">
        <v>1</v>
      </c>
      <c r="O11" s="124">
        <v>1</v>
      </c>
      <c r="P11" s="124">
        <v>0</v>
      </c>
      <c r="Q11" s="124">
        <v>1</v>
      </c>
      <c r="R11" s="125">
        <f t="shared" si="0"/>
        <v>18</v>
      </c>
      <c r="S11" s="126">
        <f t="shared" si="1"/>
        <v>0.94736842105263153</v>
      </c>
    </row>
    <row r="12" spans="1:23" s="127" customFormat="1" x14ac:dyDescent="0.25">
      <c r="A12" s="123" t="str">
        <f>(IF(Info!$B9&lt;&gt;"",Info!$B9,""))</f>
        <v>Boog Powell</v>
      </c>
      <c r="B12" s="124">
        <v>1</v>
      </c>
      <c r="C12" s="124">
        <v>0</v>
      </c>
      <c r="D12" s="124">
        <v>1</v>
      </c>
      <c r="E12" s="124">
        <v>1</v>
      </c>
      <c r="F12" s="124">
        <v>1</v>
      </c>
      <c r="G12" s="124">
        <v>1</v>
      </c>
      <c r="H12" s="124">
        <v>2</v>
      </c>
      <c r="I12" s="124">
        <v>2</v>
      </c>
      <c r="J12" s="124">
        <v>1</v>
      </c>
      <c r="K12" s="124">
        <v>1</v>
      </c>
      <c r="L12" s="124">
        <v>1</v>
      </c>
      <c r="M12" s="124">
        <v>1</v>
      </c>
      <c r="N12" s="124">
        <v>1</v>
      </c>
      <c r="O12" s="124">
        <v>1</v>
      </c>
      <c r="P12" s="124">
        <v>1</v>
      </c>
      <c r="Q12" s="124">
        <v>1</v>
      </c>
      <c r="R12" s="125">
        <f t="shared" si="0"/>
        <v>17</v>
      </c>
      <c r="S12" s="126">
        <f t="shared" si="1"/>
        <v>0.89473684210526316</v>
      </c>
    </row>
    <row r="13" spans="1:23" s="127" customFormat="1" x14ac:dyDescent="0.25">
      <c r="A13" s="123" t="str">
        <f>(IF(Info!$B10&lt;&gt;"",Info!$B10,""))</f>
        <v>Brady Anderson</v>
      </c>
      <c r="B13" s="124">
        <v>1</v>
      </c>
      <c r="C13" s="124">
        <v>1</v>
      </c>
      <c r="D13" s="124">
        <v>1</v>
      </c>
      <c r="E13" s="124">
        <v>1</v>
      </c>
      <c r="F13" s="124">
        <v>1</v>
      </c>
      <c r="G13" s="124">
        <v>2</v>
      </c>
      <c r="H13" s="124">
        <v>1</v>
      </c>
      <c r="I13" s="124">
        <v>1</v>
      </c>
      <c r="J13" s="124">
        <v>1</v>
      </c>
      <c r="K13" s="124">
        <v>1</v>
      </c>
      <c r="L13" s="124">
        <v>1</v>
      </c>
      <c r="M13" s="124">
        <v>1</v>
      </c>
      <c r="N13" s="124">
        <v>1</v>
      </c>
      <c r="O13" s="124">
        <v>1</v>
      </c>
      <c r="P13" s="124">
        <v>1</v>
      </c>
      <c r="Q13" s="124">
        <v>1</v>
      </c>
      <c r="R13" s="125">
        <f t="shared" si="0"/>
        <v>17</v>
      </c>
      <c r="S13" s="126">
        <f t="shared" si="1"/>
        <v>0.89473684210526316</v>
      </c>
    </row>
    <row r="14" spans="1:23" s="127" customFormat="1" x14ac:dyDescent="0.25">
      <c r="A14" s="123" t="str">
        <f>(IF(Info!$B11&lt;&gt;"",Info!$B11,""))</f>
        <v>Rafael Palmero</v>
      </c>
      <c r="B14" s="124">
        <v>1</v>
      </c>
      <c r="C14" s="124">
        <v>0</v>
      </c>
      <c r="D14" s="124">
        <v>1</v>
      </c>
      <c r="E14" s="124">
        <v>1</v>
      </c>
      <c r="F14" s="124">
        <v>1</v>
      </c>
      <c r="G14" s="124">
        <v>2</v>
      </c>
      <c r="H14" s="124">
        <v>2</v>
      </c>
      <c r="I14" s="124">
        <v>2</v>
      </c>
      <c r="J14" s="124">
        <v>1</v>
      </c>
      <c r="K14" s="124">
        <v>1</v>
      </c>
      <c r="L14" s="124">
        <v>1</v>
      </c>
      <c r="M14" s="124">
        <v>1</v>
      </c>
      <c r="N14" s="124">
        <v>1</v>
      </c>
      <c r="O14" s="124">
        <v>1</v>
      </c>
      <c r="P14" s="124">
        <v>1</v>
      </c>
      <c r="Q14" s="124">
        <v>1</v>
      </c>
      <c r="R14" s="125">
        <f t="shared" si="0"/>
        <v>18</v>
      </c>
      <c r="S14" s="126">
        <f t="shared" si="1"/>
        <v>0.94736842105263153</v>
      </c>
    </row>
    <row r="15" spans="1:23" s="127" customFormat="1" x14ac:dyDescent="0.25">
      <c r="A15" s="123" t="str">
        <f>(IF(Info!$B12&lt;&gt;"",Info!$B12,""))</f>
        <v>Melvin Mora</v>
      </c>
      <c r="B15" s="124">
        <v>0</v>
      </c>
      <c r="C15" s="124">
        <v>0</v>
      </c>
      <c r="D15" s="124">
        <v>1</v>
      </c>
      <c r="E15" s="124">
        <v>1</v>
      </c>
      <c r="F15" s="124">
        <v>0</v>
      </c>
      <c r="G15" s="124">
        <v>1</v>
      </c>
      <c r="H15" s="124">
        <v>1</v>
      </c>
      <c r="I15" s="124">
        <v>2</v>
      </c>
      <c r="J15" s="124">
        <v>1</v>
      </c>
      <c r="K15" s="124">
        <v>1</v>
      </c>
      <c r="L15" s="124">
        <v>0</v>
      </c>
      <c r="M15" s="124">
        <v>1</v>
      </c>
      <c r="N15" s="124">
        <v>1</v>
      </c>
      <c r="O15" s="124">
        <v>1</v>
      </c>
      <c r="P15" s="124">
        <v>1</v>
      </c>
      <c r="Q15" s="124">
        <v>1</v>
      </c>
      <c r="R15" s="125">
        <f t="shared" si="0"/>
        <v>13</v>
      </c>
      <c r="S15" s="126">
        <f t="shared" si="1"/>
        <v>0.68421052631578949</v>
      </c>
    </row>
    <row r="16" spans="1:23" s="127" customFormat="1" x14ac:dyDescent="0.25">
      <c r="A16" s="123" t="str">
        <f>(IF(Info!$B13&lt;&gt;"",Info!$B13,""))</f>
        <v>Dave McNally</v>
      </c>
      <c r="B16" s="124">
        <v>1</v>
      </c>
      <c r="C16" s="124">
        <v>1</v>
      </c>
      <c r="D16" s="124">
        <v>1</v>
      </c>
      <c r="E16" s="124">
        <v>1</v>
      </c>
      <c r="F16" s="124">
        <v>1</v>
      </c>
      <c r="G16" s="124">
        <v>2</v>
      </c>
      <c r="H16" s="124">
        <v>2</v>
      </c>
      <c r="I16" s="124">
        <v>1</v>
      </c>
      <c r="J16" s="124">
        <v>1</v>
      </c>
      <c r="K16" s="124">
        <v>1</v>
      </c>
      <c r="L16" s="124">
        <v>1</v>
      </c>
      <c r="M16" s="124">
        <v>1</v>
      </c>
      <c r="N16" s="124">
        <v>1</v>
      </c>
      <c r="O16" s="124">
        <v>1</v>
      </c>
      <c r="P16" s="124">
        <v>0</v>
      </c>
      <c r="Q16" s="124">
        <v>1</v>
      </c>
      <c r="R16" s="125">
        <f t="shared" si="0"/>
        <v>17</v>
      </c>
      <c r="S16" s="126">
        <f t="shared" si="1"/>
        <v>0.89473684210526316</v>
      </c>
    </row>
    <row r="17" spans="1:19" s="127" customFormat="1" x14ac:dyDescent="0.25">
      <c r="A17" s="123" t="str">
        <f>(IF(Info!$B14&lt;&gt;"",Info!$B14,""))</f>
        <v>Ken Singleton</v>
      </c>
      <c r="B17" s="124">
        <v>0</v>
      </c>
      <c r="C17" s="124">
        <v>0</v>
      </c>
      <c r="D17" s="124">
        <v>1</v>
      </c>
      <c r="E17" s="124">
        <v>1</v>
      </c>
      <c r="F17" s="124">
        <v>1</v>
      </c>
      <c r="G17" s="124">
        <v>2</v>
      </c>
      <c r="H17" s="124">
        <v>1</v>
      </c>
      <c r="I17" s="124">
        <v>1</v>
      </c>
      <c r="J17" s="124">
        <v>1</v>
      </c>
      <c r="K17" s="124">
        <v>1</v>
      </c>
      <c r="L17" s="124">
        <v>1</v>
      </c>
      <c r="M17" s="124">
        <v>1</v>
      </c>
      <c r="N17" s="124">
        <v>1</v>
      </c>
      <c r="O17" s="124">
        <v>1</v>
      </c>
      <c r="P17" s="124">
        <v>1</v>
      </c>
      <c r="Q17" s="124">
        <v>1</v>
      </c>
      <c r="R17" s="125">
        <f t="shared" si="0"/>
        <v>15</v>
      </c>
      <c r="S17" s="126">
        <f t="shared" si="1"/>
        <v>0.78947368421052633</v>
      </c>
    </row>
    <row r="18" spans="1:19" s="127" customFormat="1" x14ac:dyDescent="0.25">
      <c r="A18" s="123" t="str">
        <f>(IF(Info!$B15&lt;&gt;"",Info!$B15,""))</f>
        <v>Jonathan Schoop</v>
      </c>
      <c r="B18" s="124">
        <v>1</v>
      </c>
      <c r="C18" s="124">
        <v>0</v>
      </c>
      <c r="D18" s="124">
        <v>1</v>
      </c>
      <c r="E18" s="124">
        <v>1</v>
      </c>
      <c r="F18" s="124">
        <v>1</v>
      </c>
      <c r="G18" s="124">
        <v>2</v>
      </c>
      <c r="H18" s="124">
        <v>2</v>
      </c>
      <c r="I18" s="124">
        <v>2</v>
      </c>
      <c r="J18" s="124">
        <v>1</v>
      </c>
      <c r="K18" s="124">
        <v>1</v>
      </c>
      <c r="L18" s="124">
        <v>1</v>
      </c>
      <c r="M18" s="124">
        <v>1</v>
      </c>
      <c r="N18" s="124">
        <v>0</v>
      </c>
      <c r="O18" s="124">
        <v>1</v>
      </c>
      <c r="P18" s="124">
        <v>0</v>
      </c>
      <c r="Q18" s="124">
        <v>1</v>
      </c>
      <c r="R18" s="125">
        <f t="shared" si="0"/>
        <v>16</v>
      </c>
      <c r="S18" s="126">
        <f t="shared" si="1"/>
        <v>0.84210526315789469</v>
      </c>
    </row>
    <row r="19" spans="1:19" s="127" customFormat="1" x14ac:dyDescent="0.25">
      <c r="A19" s="123" t="str">
        <f>(IF(Info!$B16&lt;&gt;"",Info!$B16,""))</f>
        <v>Paul Blair</v>
      </c>
      <c r="B19" s="124">
        <v>1</v>
      </c>
      <c r="C19" s="124">
        <v>1</v>
      </c>
      <c r="D19" s="124">
        <v>1</v>
      </c>
      <c r="E19" s="124">
        <v>1</v>
      </c>
      <c r="F19" s="124">
        <v>1</v>
      </c>
      <c r="G19" s="124">
        <v>2</v>
      </c>
      <c r="H19" s="124">
        <v>1</v>
      </c>
      <c r="I19" s="124">
        <v>1</v>
      </c>
      <c r="J19" s="124">
        <v>1</v>
      </c>
      <c r="K19" s="124">
        <v>1</v>
      </c>
      <c r="L19" s="124">
        <v>1</v>
      </c>
      <c r="M19" s="124">
        <v>1</v>
      </c>
      <c r="N19" s="124">
        <v>1</v>
      </c>
      <c r="O19" s="124">
        <v>1</v>
      </c>
      <c r="P19" s="124">
        <v>0</v>
      </c>
      <c r="Q19" s="124">
        <v>1</v>
      </c>
      <c r="R19" s="125">
        <f t="shared" si="0"/>
        <v>16</v>
      </c>
      <c r="S19" s="126">
        <f t="shared" si="1"/>
        <v>0.84210526315789469</v>
      </c>
    </row>
    <row r="20" spans="1:19" s="127" customFormat="1" x14ac:dyDescent="0.25">
      <c r="A20" s="123" t="str">
        <f>(IF(Info!$B17&lt;&gt;"",Info!$B17,""))</f>
        <v>Mark Belanger</v>
      </c>
      <c r="B20" s="124">
        <v>1</v>
      </c>
      <c r="C20" s="124">
        <v>0</v>
      </c>
      <c r="D20" s="124">
        <v>1</v>
      </c>
      <c r="E20" s="124">
        <v>1</v>
      </c>
      <c r="F20" s="124">
        <v>1</v>
      </c>
      <c r="G20" s="124">
        <v>2</v>
      </c>
      <c r="H20" s="124">
        <v>2</v>
      </c>
      <c r="I20" s="124">
        <v>2</v>
      </c>
      <c r="J20" s="124">
        <v>1</v>
      </c>
      <c r="K20" s="124">
        <v>1</v>
      </c>
      <c r="L20" s="124">
        <v>1</v>
      </c>
      <c r="M20" s="124">
        <v>1</v>
      </c>
      <c r="N20" s="124">
        <v>1</v>
      </c>
      <c r="O20" s="124">
        <v>1</v>
      </c>
      <c r="P20" s="124">
        <v>1</v>
      </c>
      <c r="Q20" s="124">
        <v>1</v>
      </c>
      <c r="R20" s="125">
        <f t="shared" si="0"/>
        <v>18</v>
      </c>
      <c r="S20" s="126">
        <f t="shared" si="1"/>
        <v>0.94736842105263153</v>
      </c>
    </row>
    <row r="21" spans="1:19" s="127" customFormat="1" x14ac:dyDescent="0.25">
      <c r="A21" s="123" t="str">
        <f>(IF(Info!$B18&lt;&gt;"",Info!$B18,""))</f>
        <v>Davey Johnson</v>
      </c>
      <c r="B21" s="124">
        <v>1</v>
      </c>
      <c r="C21" s="124">
        <v>1</v>
      </c>
      <c r="D21" s="124">
        <v>1</v>
      </c>
      <c r="E21" s="124">
        <v>1</v>
      </c>
      <c r="F21" s="124">
        <v>1</v>
      </c>
      <c r="G21" s="124">
        <v>2</v>
      </c>
      <c r="H21" s="124">
        <v>1</v>
      </c>
      <c r="I21" s="124">
        <v>1</v>
      </c>
      <c r="J21" s="124">
        <v>1</v>
      </c>
      <c r="K21" s="124">
        <v>1</v>
      </c>
      <c r="L21" s="124">
        <v>0</v>
      </c>
      <c r="M21" s="124">
        <v>1</v>
      </c>
      <c r="N21" s="124">
        <v>0</v>
      </c>
      <c r="O21" s="124">
        <v>1</v>
      </c>
      <c r="P21" s="124">
        <v>1</v>
      </c>
      <c r="Q21" s="124">
        <v>1</v>
      </c>
      <c r="R21" s="125">
        <f t="shared" si="0"/>
        <v>15</v>
      </c>
      <c r="S21" s="126">
        <f t="shared" si="1"/>
        <v>0.78947368421052633</v>
      </c>
    </row>
    <row r="22" spans="1:19" s="127" customFormat="1" x14ac:dyDescent="0.25">
      <c r="A22" s="123" t="str">
        <f>(IF(Info!$B19&lt;&gt;"",Info!$B19,""))</f>
        <v>Miguel Tejada</v>
      </c>
      <c r="B22" s="124">
        <v>1</v>
      </c>
      <c r="C22" s="124">
        <v>1</v>
      </c>
      <c r="D22" s="124">
        <v>1</v>
      </c>
      <c r="E22" s="124">
        <v>1</v>
      </c>
      <c r="F22" s="124">
        <v>1</v>
      </c>
      <c r="G22" s="124">
        <v>0</v>
      </c>
      <c r="H22" s="124">
        <v>1</v>
      </c>
      <c r="I22" s="124">
        <v>1</v>
      </c>
      <c r="J22" s="124">
        <v>1</v>
      </c>
      <c r="K22" s="124">
        <v>1</v>
      </c>
      <c r="L22" s="124">
        <v>1</v>
      </c>
      <c r="M22" s="124">
        <v>1</v>
      </c>
      <c r="N22" s="124">
        <v>1</v>
      </c>
      <c r="O22" s="124">
        <v>1</v>
      </c>
      <c r="P22" s="124">
        <v>1</v>
      </c>
      <c r="Q22" s="124">
        <v>1</v>
      </c>
      <c r="R22" s="125">
        <f t="shared" si="0"/>
        <v>15</v>
      </c>
      <c r="S22" s="126">
        <f t="shared" si="1"/>
        <v>0.78947368421052633</v>
      </c>
    </row>
    <row r="23" spans="1:19" s="127" customFormat="1" x14ac:dyDescent="0.25">
      <c r="A23" s="123" t="str">
        <f>(IF(Info!$B20&lt;&gt;"",Info!$B20,""))</f>
        <v>Adam Jones</v>
      </c>
      <c r="B23" s="124">
        <v>1</v>
      </c>
      <c r="C23" s="124">
        <v>1</v>
      </c>
      <c r="D23" s="124">
        <v>1</v>
      </c>
      <c r="E23" s="124">
        <v>1</v>
      </c>
      <c r="F23" s="124">
        <v>1</v>
      </c>
      <c r="G23" s="124">
        <v>2</v>
      </c>
      <c r="H23" s="124">
        <v>2</v>
      </c>
      <c r="I23" s="124">
        <v>2</v>
      </c>
      <c r="J23" s="124">
        <v>1</v>
      </c>
      <c r="K23" s="124">
        <v>1</v>
      </c>
      <c r="L23" s="124">
        <v>1</v>
      </c>
      <c r="M23" s="124">
        <v>1</v>
      </c>
      <c r="N23" s="124">
        <v>0</v>
      </c>
      <c r="O23" s="124">
        <v>1</v>
      </c>
      <c r="P23" s="124">
        <v>1</v>
      </c>
      <c r="Q23" s="124">
        <v>1</v>
      </c>
      <c r="R23" s="125">
        <f t="shared" si="0"/>
        <v>18</v>
      </c>
      <c r="S23" s="126">
        <f t="shared" si="1"/>
        <v>0.94736842105263153</v>
      </c>
    </row>
    <row r="24" spans="1:19" s="127" customFormat="1" x14ac:dyDescent="0.25">
      <c r="A24" s="123" t="str">
        <f>(IF(Info!$B21&lt;&gt;"",Info!$B21,""))</f>
        <v/>
      </c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5" t="str">
        <f t="shared" si="0"/>
        <v/>
      </c>
      <c r="S24" s="126" t="str">
        <f t="shared" si="1"/>
        <v/>
      </c>
    </row>
    <row r="25" spans="1:19" s="127" customFormat="1" x14ac:dyDescent="0.25">
      <c r="A25" s="123" t="str">
        <f>(IF(Info!$B22&lt;&gt;"",Info!$B22,""))</f>
        <v/>
      </c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5" t="str">
        <f t="shared" si="0"/>
        <v/>
      </c>
      <c r="S25" s="126" t="str">
        <f t="shared" si="1"/>
        <v/>
      </c>
    </row>
    <row r="26" spans="1:19" s="127" customFormat="1" x14ac:dyDescent="0.25">
      <c r="A26" s="123" t="str">
        <f>(IF(Info!$B23&lt;&gt;"",Info!$B23,""))</f>
        <v/>
      </c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5" t="str">
        <f t="shared" si="0"/>
        <v/>
      </c>
      <c r="S26" s="126" t="str">
        <f t="shared" si="1"/>
        <v/>
      </c>
    </row>
    <row r="27" spans="1:19" s="127" customFormat="1" x14ac:dyDescent="0.25">
      <c r="A27" s="123" t="str">
        <f>(IF(Info!$B24&lt;&gt;"",Info!$B24,""))</f>
        <v/>
      </c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5" t="str">
        <f t="shared" si="0"/>
        <v/>
      </c>
      <c r="S27" s="126" t="str">
        <f t="shared" si="1"/>
        <v/>
      </c>
    </row>
    <row r="28" spans="1:19" s="127" customFormat="1" x14ac:dyDescent="0.25">
      <c r="A28" s="123" t="str">
        <f>(IF(Info!$B25&lt;&gt;"",Info!$B25,""))</f>
        <v/>
      </c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5" t="str">
        <f t="shared" si="0"/>
        <v/>
      </c>
      <c r="S28" s="126" t="str">
        <f t="shared" si="1"/>
        <v/>
      </c>
    </row>
    <row r="29" spans="1:19" s="127" customFormat="1" x14ac:dyDescent="0.25">
      <c r="A29" s="123" t="str">
        <f>(IF(Info!$B26&lt;&gt;"",Info!$B26,""))</f>
        <v/>
      </c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5" t="str">
        <f t="shared" si="0"/>
        <v/>
      </c>
      <c r="S29" s="126" t="str">
        <f t="shared" si="1"/>
        <v/>
      </c>
    </row>
    <row r="30" spans="1:19" s="127" customFormat="1" x14ac:dyDescent="0.25">
      <c r="A30" s="123" t="str">
        <f>(IF(Info!$B27&lt;&gt;"",Info!$B27,""))</f>
        <v/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5" t="str">
        <f t="shared" si="0"/>
        <v/>
      </c>
      <c r="S30" s="126" t="str">
        <f t="shared" si="1"/>
        <v/>
      </c>
    </row>
    <row r="31" spans="1:19" s="127" customFormat="1" x14ac:dyDescent="0.25">
      <c r="A31" s="123" t="str">
        <f>(IF(Info!$B28&lt;&gt;"",Info!$B28,""))</f>
        <v/>
      </c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5" t="str">
        <f t="shared" si="0"/>
        <v/>
      </c>
      <c r="S31" s="126" t="str">
        <f t="shared" si="1"/>
        <v/>
      </c>
    </row>
    <row r="32" spans="1:19" s="127" customFormat="1" x14ac:dyDescent="0.25">
      <c r="A32" s="123" t="str">
        <f>(IF(Info!$B29&lt;&gt;"",Info!$B29,""))</f>
        <v/>
      </c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5" t="str">
        <f t="shared" si="0"/>
        <v/>
      </c>
      <c r="S32" s="126" t="str">
        <f t="shared" si="1"/>
        <v/>
      </c>
    </row>
    <row r="33" spans="1:21" s="127" customFormat="1" x14ac:dyDescent="0.25">
      <c r="A33" s="123" t="str">
        <f>(IF(Info!$B30&lt;&gt;"",Info!$B30,""))</f>
        <v/>
      </c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5" t="str">
        <f t="shared" si="0"/>
        <v/>
      </c>
      <c r="S33" s="126" t="str">
        <f t="shared" si="1"/>
        <v/>
      </c>
    </row>
    <row r="34" spans="1:21" s="127" customFormat="1" x14ac:dyDescent="0.25">
      <c r="A34" s="123" t="str">
        <f>(IF(Info!$B31&lt;&gt;"",Info!$B31,""))</f>
        <v/>
      </c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5" t="str">
        <f t="shared" si="0"/>
        <v/>
      </c>
      <c r="S34" s="126" t="str">
        <f t="shared" si="1"/>
        <v/>
      </c>
    </row>
    <row r="35" spans="1:21" s="127" customFormat="1" x14ac:dyDescent="0.25">
      <c r="A35" s="123" t="str">
        <f>(IF(Info!$B32&lt;&gt;"",Info!$B32,""))</f>
        <v/>
      </c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5" t="str">
        <f t="shared" si="0"/>
        <v/>
      </c>
      <c r="S35" s="126" t="str">
        <f t="shared" si="1"/>
        <v/>
      </c>
    </row>
    <row r="36" spans="1:21" s="127" customFormat="1" x14ac:dyDescent="0.25">
      <c r="A36" s="123" t="str">
        <f>(IF(Info!$B33&lt;&gt;"",Info!$B33,""))</f>
        <v/>
      </c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5" t="str">
        <f t="shared" si="0"/>
        <v/>
      </c>
      <c r="S36" s="126" t="str">
        <f t="shared" si="1"/>
        <v/>
      </c>
    </row>
    <row r="37" spans="1:21" s="127" customFormat="1" x14ac:dyDescent="0.25">
      <c r="A37" s="123" t="str">
        <f>(IF(Info!$B34&lt;&gt;"",Info!$B34,""))</f>
        <v/>
      </c>
      <c r="B37" s="124"/>
      <c r="C37" s="124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5" t="str">
        <f t="shared" si="0"/>
        <v/>
      </c>
      <c r="S37" s="126" t="str">
        <f t="shared" si="1"/>
        <v/>
      </c>
    </row>
    <row r="38" spans="1:21" s="127" customFormat="1" x14ac:dyDescent="0.25">
      <c r="A38" s="123" t="str">
        <f>(IF(Info!$B35&lt;&gt;"",Info!$B35,""))</f>
        <v/>
      </c>
      <c r="B38" s="124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5" t="str">
        <f t="shared" si="0"/>
        <v/>
      </c>
      <c r="S38" s="126" t="str">
        <f t="shared" si="1"/>
        <v/>
      </c>
    </row>
    <row r="39" spans="1:21" s="127" customFormat="1" x14ac:dyDescent="0.25">
      <c r="A39" s="123" t="str">
        <f>(IF(Info!$B36&lt;&gt;"",Info!$B36,""))</f>
        <v/>
      </c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5" t="str">
        <f t="shared" si="0"/>
        <v/>
      </c>
      <c r="S39" s="126" t="str">
        <f t="shared" si="1"/>
        <v/>
      </c>
    </row>
    <row r="40" spans="1:21" s="127" customFormat="1" x14ac:dyDescent="0.25">
      <c r="A40" s="123" t="str">
        <f>(IF(Info!$B37&lt;&gt;"",Info!$B37,""))</f>
        <v/>
      </c>
      <c r="B40" s="124"/>
      <c r="C40" s="124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5" t="str">
        <f t="shared" si="0"/>
        <v/>
      </c>
      <c r="S40" s="126" t="str">
        <f t="shared" si="1"/>
        <v/>
      </c>
    </row>
    <row r="41" spans="1:21" s="127" customFormat="1" x14ac:dyDescent="0.25">
      <c r="A41" s="123" t="str">
        <f>(IF(Info!$B38&lt;&gt;"",Info!$B38,""))</f>
        <v/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5" t="str">
        <f t="shared" si="0"/>
        <v/>
      </c>
      <c r="S41" s="126" t="str">
        <f t="shared" si="1"/>
        <v/>
      </c>
    </row>
    <row r="42" spans="1:21" s="127" customFormat="1" x14ac:dyDescent="0.25">
      <c r="A42" s="123" t="str">
        <f>(IF(Info!$B39&lt;&gt;"",Info!$B39,""))</f>
        <v/>
      </c>
      <c r="B42" s="124"/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5" t="str">
        <f t="shared" si="0"/>
        <v/>
      </c>
      <c r="S42" s="126" t="str">
        <f t="shared" si="1"/>
        <v/>
      </c>
    </row>
    <row r="43" spans="1:21" s="127" customFormat="1" x14ac:dyDescent="0.25">
      <c r="A43" s="123" t="str">
        <f>(IF(Info!$B40&lt;&gt;"",Info!$B40,""))</f>
        <v/>
      </c>
      <c r="B43" s="124"/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5" t="str">
        <f t="shared" si="0"/>
        <v/>
      </c>
      <c r="S43" s="126" t="str">
        <f t="shared" si="1"/>
        <v/>
      </c>
    </row>
    <row r="44" spans="1:21" s="127" customFormat="1" x14ac:dyDescent="0.25">
      <c r="A44" s="123" t="str">
        <f>(IF(Info!$B41&lt;&gt;"",Info!$B41,""))</f>
        <v/>
      </c>
      <c r="B44" s="124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5" t="str">
        <f t="shared" si="0"/>
        <v/>
      </c>
      <c r="S44" s="126" t="str">
        <f t="shared" si="1"/>
        <v/>
      </c>
    </row>
    <row r="45" spans="1:21" s="127" customFormat="1" x14ac:dyDescent="0.25">
      <c r="A45" s="123" t="str">
        <f>(IF(Info!$B42&lt;&gt;"",Info!$B42,""))</f>
        <v/>
      </c>
      <c r="B45" s="124"/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5" t="str">
        <f t="shared" si="0"/>
        <v/>
      </c>
      <c r="S45" s="126" t="str">
        <f t="shared" si="1"/>
        <v/>
      </c>
    </row>
    <row r="46" spans="1:21" s="127" customFormat="1" x14ac:dyDescent="0.25">
      <c r="A46" s="123" t="str">
        <f>(IF(Info!$B43&lt;&gt;"",Info!$B43,""))</f>
        <v/>
      </c>
      <c r="B46" s="124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5" t="str">
        <f t="shared" si="0"/>
        <v/>
      </c>
      <c r="S46" s="126" t="str">
        <f t="shared" si="1"/>
        <v/>
      </c>
      <c r="U46" s="157"/>
    </row>
    <row r="47" spans="1:21" s="127" customFormat="1" x14ac:dyDescent="0.25">
      <c r="A47" s="123" t="str">
        <f>(IF(Info!$B44&lt;&gt;"",Info!$B44,""))</f>
        <v/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5" t="str">
        <f t="shared" si="0"/>
        <v/>
      </c>
      <c r="S47" s="126" t="str">
        <f t="shared" si="1"/>
        <v/>
      </c>
      <c r="U47" s="157"/>
    </row>
    <row r="48" spans="1:21" s="127" customFormat="1" x14ac:dyDescent="0.25">
      <c r="A48" s="123" t="str">
        <f>(IF(Info!$B45&lt;&gt;"",Info!$B45,""))</f>
        <v/>
      </c>
      <c r="B48" s="124"/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5" t="str">
        <f t="shared" si="0"/>
        <v/>
      </c>
      <c r="S48" s="126" t="str">
        <f t="shared" si="1"/>
        <v/>
      </c>
      <c r="U48" s="157"/>
    </row>
    <row r="49" spans="1:21" s="127" customFormat="1" x14ac:dyDescent="0.25">
      <c r="A49" s="123" t="str">
        <f>(IF(Info!$B46&lt;&gt;"",Info!$B46,""))</f>
        <v/>
      </c>
      <c r="B49" s="124"/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5" t="str">
        <f t="shared" si="0"/>
        <v/>
      </c>
      <c r="S49" s="126" t="str">
        <f t="shared" si="1"/>
        <v/>
      </c>
      <c r="U49" s="157"/>
    </row>
    <row r="50" spans="1:21" s="127" customFormat="1" x14ac:dyDescent="0.25">
      <c r="A50" s="123" t="str">
        <f>(IF(Info!$B47&lt;&gt;"",Info!$B47,""))</f>
        <v/>
      </c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5" t="str">
        <f t="shared" si="0"/>
        <v/>
      </c>
      <c r="S50" s="126" t="str">
        <f t="shared" si="1"/>
        <v/>
      </c>
      <c r="U50" s="157"/>
    </row>
    <row r="51" spans="1:21" s="127" customFormat="1" x14ac:dyDescent="0.25">
      <c r="A51" s="123" t="str">
        <f>(IF(Info!$B48&lt;&gt;"",Info!$B48,""))</f>
        <v/>
      </c>
      <c r="B51" s="124"/>
      <c r="C51" s="124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5" t="str">
        <f t="shared" si="0"/>
        <v/>
      </c>
      <c r="S51" s="126" t="str">
        <f t="shared" si="1"/>
        <v/>
      </c>
      <c r="U51" s="157"/>
    </row>
    <row r="52" spans="1:21" s="127" customFormat="1" x14ac:dyDescent="0.25">
      <c r="B52" s="177"/>
      <c r="C52" s="177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  <c r="U52" s="157"/>
    </row>
    <row r="53" spans="1:21" s="127" customFormat="1" x14ac:dyDescent="0.25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77"/>
      <c r="M53" s="177"/>
      <c r="N53" s="177"/>
      <c r="O53" s="177"/>
      <c r="P53" s="177"/>
      <c r="Q53" s="177"/>
      <c r="U53" s="157"/>
    </row>
    <row r="54" spans="1:21" s="127" customFormat="1" x14ac:dyDescent="0.25">
      <c r="B54" s="197"/>
      <c r="C54" s="197"/>
      <c r="D54" s="197"/>
      <c r="E54" s="197"/>
      <c r="F54" s="197"/>
      <c r="G54" s="197"/>
      <c r="H54" s="197"/>
      <c r="I54" s="197"/>
      <c r="J54" s="197"/>
      <c r="K54" s="197"/>
      <c r="L54" s="177"/>
      <c r="M54" s="177"/>
      <c r="N54" s="177"/>
      <c r="O54" s="177"/>
      <c r="P54" s="177"/>
      <c r="Q54" s="177"/>
      <c r="U54" s="157"/>
    </row>
    <row r="55" spans="1:21" s="127" customFormat="1" x14ac:dyDescent="0.25">
      <c r="B55" s="197"/>
      <c r="C55" s="197"/>
      <c r="D55" s="197"/>
      <c r="E55" s="197"/>
      <c r="F55" s="197"/>
      <c r="G55" s="197"/>
      <c r="H55" s="197"/>
      <c r="I55" s="197"/>
      <c r="J55" s="197"/>
      <c r="K55" s="197"/>
      <c r="L55" s="177"/>
      <c r="M55" s="177"/>
      <c r="N55" s="177"/>
      <c r="O55" s="177"/>
      <c r="P55" s="177"/>
      <c r="Q55" s="177"/>
      <c r="U55" s="157"/>
    </row>
    <row r="56" spans="1:21" s="127" customFormat="1" x14ac:dyDescent="0.25">
      <c r="B56" s="197"/>
      <c r="C56" s="197"/>
      <c r="D56" s="197"/>
      <c r="E56" s="197"/>
      <c r="F56" s="197"/>
      <c r="G56" s="197"/>
      <c r="H56" s="197"/>
      <c r="I56" s="197"/>
      <c r="J56" s="197"/>
      <c r="K56" s="197"/>
      <c r="L56" s="177"/>
      <c r="M56" s="177"/>
      <c r="N56" s="177"/>
      <c r="O56" s="177"/>
      <c r="P56" s="177"/>
      <c r="Q56" s="177"/>
      <c r="U56" s="157"/>
    </row>
    <row r="57" spans="1:21" s="127" customFormat="1" x14ac:dyDescent="0.25">
      <c r="B57" s="197"/>
      <c r="C57" s="197"/>
      <c r="D57" s="197"/>
      <c r="E57" s="197"/>
      <c r="F57" s="197"/>
      <c r="G57" s="197"/>
      <c r="H57" s="197"/>
      <c r="I57" s="197"/>
      <c r="J57" s="197"/>
      <c r="K57" s="197"/>
      <c r="L57" s="177"/>
      <c r="M57" s="177"/>
      <c r="N57" s="177"/>
      <c r="O57" s="177"/>
      <c r="P57" s="177"/>
      <c r="Q57" s="177"/>
      <c r="U57" s="157"/>
    </row>
    <row r="58" spans="1:21" s="127" customFormat="1" x14ac:dyDescent="0.25">
      <c r="B58" s="197"/>
      <c r="C58" s="197"/>
      <c r="D58" s="197"/>
      <c r="E58" s="197"/>
      <c r="F58" s="197"/>
      <c r="G58" s="197"/>
      <c r="H58" s="197"/>
      <c r="I58" s="197"/>
      <c r="J58" s="197"/>
      <c r="K58" s="197"/>
      <c r="L58" s="177"/>
      <c r="M58" s="177"/>
      <c r="N58" s="177"/>
      <c r="O58" s="177"/>
      <c r="P58" s="177"/>
      <c r="Q58" s="177"/>
      <c r="U58" s="157"/>
    </row>
    <row r="59" spans="1:21" s="127" customFormat="1" x14ac:dyDescent="0.25">
      <c r="B59" s="197"/>
      <c r="C59" s="197"/>
      <c r="D59" s="197"/>
      <c r="E59" s="197"/>
      <c r="F59" s="197"/>
      <c r="G59" s="197"/>
      <c r="H59" s="197"/>
      <c r="I59" s="197"/>
      <c r="J59" s="197"/>
      <c r="K59" s="197"/>
      <c r="L59" s="177"/>
      <c r="M59" s="177"/>
      <c r="N59" s="177"/>
      <c r="O59" s="177"/>
      <c r="P59" s="177"/>
      <c r="Q59" s="177"/>
      <c r="U59" s="157"/>
    </row>
    <row r="60" spans="1:21" s="127" customFormat="1" x14ac:dyDescent="0.25">
      <c r="B60" s="197"/>
      <c r="C60" s="197"/>
      <c r="D60" s="197"/>
      <c r="E60" s="197"/>
      <c r="F60" s="197"/>
      <c r="G60" s="197"/>
      <c r="H60" s="197"/>
      <c r="I60" s="197"/>
      <c r="J60" s="197"/>
      <c r="K60" s="197"/>
      <c r="L60" s="197"/>
      <c r="M60" s="197"/>
      <c r="N60" s="197"/>
      <c r="O60" s="197"/>
      <c r="Q60" s="197"/>
      <c r="U60" s="157"/>
    </row>
    <row r="61" spans="1:21" s="127" customFormat="1" x14ac:dyDescent="0.25">
      <c r="U61" s="157"/>
    </row>
    <row r="62" spans="1:21" s="127" customFormat="1" x14ac:dyDescent="0.25">
      <c r="U62" s="157"/>
    </row>
    <row r="63" spans="1:21" s="127" customFormat="1" x14ac:dyDescent="0.25">
      <c r="U63" s="157"/>
    </row>
    <row r="64" spans="1:21" s="127" customFormat="1" x14ac:dyDescent="0.25">
      <c r="U64" s="157"/>
    </row>
    <row r="65" spans="21:21" s="127" customFormat="1" x14ac:dyDescent="0.25">
      <c r="U65" s="157"/>
    </row>
    <row r="66" spans="21:21" s="127" customFormat="1" x14ac:dyDescent="0.25">
      <c r="U66" s="157"/>
    </row>
  </sheetData>
  <sheetProtection selectLockedCells="1"/>
  <mergeCells count="7">
    <mergeCell ref="B1:C1"/>
    <mergeCell ref="E1:H1"/>
    <mergeCell ref="I1:R1"/>
    <mergeCell ref="B2:E2"/>
    <mergeCell ref="F2:L2"/>
    <mergeCell ref="M2:Q2"/>
    <mergeCell ref="R2:S2"/>
  </mergeCells>
  <phoneticPr fontId="1" type="noConversion"/>
  <conditionalFormatting sqref="S1">
    <cfRule type="cellIs" dxfId="118" priority="39" stopIfTrue="1" operator="greaterThanOrEqual">
      <formula>0.85</formula>
    </cfRule>
    <cfRule type="cellIs" dxfId="117" priority="40" stopIfTrue="1" operator="lessThan">
      <formula>0.85</formula>
    </cfRule>
  </conditionalFormatting>
  <conditionalFormatting sqref="B6:B51">
    <cfRule type="expression" dxfId="116" priority="24">
      <formula>COUNTA(B6)&gt;0</formula>
    </cfRule>
    <cfRule type="colorScale" priority="25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:C51">
    <cfRule type="expression" dxfId="115" priority="22">
      <formula>COUNTA(C6)&gt;0</formula>
    </cfRule>
    <cfRule type="colorScale" priority="23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E6:E51">
    <cfRule type="expression" dxfId="114" priority="20">
      <formula>COUNTA(E6)&gt;0</formula>
    </cfRule>
    <cfRule type="colorScale" priority="21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:D51">
    <cfRule type="expression" dxfId="113" priority="18">
      <formula>COUNTA(D6)&gt;0</formula>
    </cfRule>
    <cfRule type="colorScale" priority="19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F6:F51">
    <cfRule type="expression" dxfId="112" priority="36">
      <formula>COUNTA(F6)&gt;0</formula>
    </cfRule>
    <cfRule type="colorScale" priority="37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G6:G51">
    <cfRule type="expression" dxfId="111" priority="34">
      <formula>COUNTA(G6)&gt;0</formula>
    </cfRule>
    <cfRule type="colorScale" priority="35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:H51">
    <cfRule type="expression" dxfId="110" priority="32">
      <formula>COUNTA(H6)&gt;0</formula>
    </cfRule>
    <cfRule type="colorScale" priority="33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6:I51">
    <cfRule type="expression" dxfId="109" priority="30">
      <formula>COUNTA(I6)&gt;0</formula>
    </cfRule>
    <cfRule type="colorScale" priority="31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6:J51">
    <cfRule type="expression" dxfId="108" priority="28">
      <formula>COUNTA(J6)&gt;0</formula>
    </cfRule>
    <cfRule type="colorScale" priority="29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6:K51">
    <cfRule type="expression" dxfId="107" priority="26">
      <formula>COUNTA(K6)&gt;0</formula>
    </cfRule>
    <cfRule type="colorScale" priority="27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S6:S51">
    <cfRule type="colorScale" priority="16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106" priority="17">
      <formula>ISNUMBER(S6)</formula>
    </cfRule>
  </conditionalFormatting>
  <conditionalFormatting sqref="R6:R51">
    <cfRule type="colorScale" priority="14">
      <colorScale>
        <cfvo type="num" val="0"/>
        <cfvo type="num" val="$R$4/2"/>
        <cfvo type="num" val="$R$4"/>
        <color rgb="FFEA4C4C"/>
        <color rgb="FFFFEB84"/>
        <color theme="6" tint="-0.249977111117893"/>
      </colorScale>
    </cfRule>
    <cfRule type="expression" dxfId="105" priority="15">
      <formula>ISNUMBER(R6)</formula>
    </cfRule>
  </conditionalFormatting>
  <conditionalFormatting sqref="L6:L51">
    <cfRule type="expression" dxfId="104" priority="12">
      <formula>COUNTA(L6)&gt;0</formula>
    </cfRule>
    <cfRule type="colorScale" priority="13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6:M51">
    <cfRule type="expression" dxfId="103" priority="10">
      <formula>COUNTA(M6)&gt;0</formula>
    </cfRule>
    <cfRule type="colorScale" priority="11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6:N51">
    <cfRule type="expression" dxfId="102" priority="8">
      <formula>COUNTA(N6)&gt;0</formula>
    </cfRule>
    <cfRule type="colorScale" priority="9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6:O51">
    <cfRule type="expression" dxfId="101" priority="6">
      <formula>COUNTA(O6)&gt;0</formula>
    </cfRule>
    <cfRule type="colorScale" priority="7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P6:P51">
    <cfRule type="expression" dxfId="100" priority="4">
      <formula>COUNTA(P6)&gt;0</formula>
    </cfRule>
    <cfRule type="colorScale" priority="5">
      <colorScale>
        <cfvo type="num" val="0"/>
        <cfvo type="num" val="($P$4)/2"/>
        <cfvo type="num" val="$P$4"/>
        <color rgb="FFEA4C4C"/>
        <color rgb="FFFFEB84"/>
        <color theme="6" tint="-0.249977111117893"/>
      </colorScale>
    </cfRule>
  </conditionalFormatting>
  <conditionalFormatting sqref="Q6:Q51">
    <cfRule type="expression" dxfId="99" priority="2">
      <formula>COUNTA(Q6)&gt;0</formula>
    </cfRule>
    <cfRule type="colorScale" priority="3">
      <colorScale>
        <cfvo type="num" val="0"/>
        <cfvo type="num" val="($Q$4)/2"/>
        <cfvo type="num" val="$Q$4"/>
        <color rgb="FFEA4C4C"/>
        <color rgb="FFFFEB84"/>
        <color theme="6" tint="-0.249977111117893"/>
      </colorScale>
    </cfRule>
  </conditionalFormatting>
  <printOptions horizontalCentered="1" gridLines="1"/>
  <pageMargins left="0.75" right="0.75" top="1.25" bottom="1" header="0.5" footer="0.5"/>
  <pageSetup orientation="landscape"/>
  <headerFooter alignWithMargins="0">
    <oddHeader>&amp;C&amp;"Times New Roman,Bold"&amp;12Mathematics
Skills Analysis Sheet for Measurement
Grade 1, &amp;A</oddHeader>
    <oddFooter>&amp;L&amp;"Times New Roman"&amp;8Grade 2, &amp;A
Two-Digit Addition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5937BA29-D91C-4CE2-AC46-4CF8CECF138F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0"/>
  <sheetViews>
    <sheetView showGridLines="0" zoomScaleNormal="100" workbookViewId="0">
      <selection activeCell="B6" sqref="B6"/>
    </sheetView>
  </sheetViews>
  <sheetFormatPr defaultColWidth="9.140625" defaultRowHeight="15.75" x14ac:dyDescent="0.25"/>
  <cols>
    <col min="1" max="1" width="19.42578125" style="127" customWidth="1"/>
    <col min="2" max="3" width="2.42578125" style="127" customWidth="1"/>
    <col min="4" max="4" width="4.7109375" style="127" customWidth="1"/>
    <col min="5" max="7" width="2.140625" style="127" bestFit="1" customWidth="1"/>
    <col min="8" max="8" width="2.28515625" style="127" customWidth="1"/>
    <col min="9" max="9" width="3" style="127" customWidth="1"/>
    <col min="10" max="11" width="3.28515625" style="127" bestFit="1" customWidth="1"/>
    <col min="12" max="12" width="3" style="127" customWidth="1"/>
    <col min="13" max="14" width="3.28515625" style="127" bestFit="1" customWidth="1"/>
    <col min="15" max="15" width="6.28515625" style="127" customWidth="1"/>
    <col min="16" max="16" width="5.42578125" style="127" customWidth="1"/>
    <col min="17" max="18" width="3.28515625" style="127" bestFit="1" customWidth="1"/>
    <col min="19" max="19" width="4.28515625" style="127" customWidth="1"/>
    <col min="20" max="20" width="5.42578125" style="127" customWidth="1"/>
    <col min="21" max="21" width="7.42578125" style="157" customWidth="1"/>
    <col min="22" max="22" width="10.42578125" style="127" customWidth="1"/>
    <col min="23" max="16384" width="9.140625" style="127"/>
  </cols>
  <sheetData>
    <row r="1" spans="1:22" s="183" customFormat="1" ht="51" customHeight="1" x14ac:dyDescent="0.2">
      <c r="A1" s="189" t="str">
        <f>IF(Info!B1&lt;&gt;0,Info!B1,"Please fill out info sheet")</f>
        <v>Ms. Johnston</v>
      </c>
      <c r="B1" s="198" t="s">
        <v>41</v>
      </c>
      <c r="C1" s="198"/>
      <c r="D1" s="199" t="s">
        <v>11</v>
      </c>
      <c r="E1" s="200" t="s">
        <v>59</v>
      </c>
      <c r="F1" s="201"/>
      <c r="G1" s="201"/>
      <c r="H1" s="201"/>
      <c r="I1" s="201"/>
      <c r="J1" s="201"/>
      <c r="K1" s="201"/>
      <c r="L1" s="201"/>
      <c r="M1" s="201"/>
      <c r="N1" s="201"/>
      <c r="O1" s="204"/>
      <c r="P1" s="215" t="s">
        <v>37</v>
      </c>
      <c r="Q1" s="215"/>
      <c r="R1" s="215"/>
      <c r="S1" s="215"/>
      <c r="T1" s="216"/>
      <c r="U1" s="202">
        <f>IF(COUNTA(class_list)&lt;&gt;0,(COUNTIF(UNIT_6_scores,"&gt;=.795"))/COUNTA(class_list), "N/A")</f>
        <v>1</v>
      </c>
      <c r="V1" s="203"/>
    </row>
    <row r="2" spans="1:22" ht="148.5" customHeight="1" x14ac:dyDescent="0.25">
      <c r="A2" s="138" t="s">
        <v>1</v>
      </c>
      <c r="B2" s="192" t="s">
        <v>49</v>
      </c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 t="s">
        <v>50</v>
      </c>
      <c r="P2" s="192"/>
      <c r="Q2" s="192" t="s">
        <v>40</v>
      </c>
      <c r="R2" s="192"/>
      <c r="S2" s="192"/>
      <c r="T2" s="192"/>
      <c r="U2" s="195" t="s">
        <v>31</v>
      </c>
      <c r="V2" s="196"/>
    </row>
    <row r="3" spans="1:22" ht="14.1" customHeight="1" x14ac:dyDescent="0.25">
      <c r="A3" s="141" t="s">
        <v>2</v>
      </c>
      <c r="B3" s="142">
        <v>1</v>
      </c>
      <c r="C3" s="142">
        <v>2</v>
      </c>
      <c r="D3" s="142">
        <v>4</v>
      </c>
      <c r="E3" s="142">
        <v>5</v>
      </c>
      <c r="F3" s="142">
        <v>6</v>
      </c>
      <c r="G3" s="142">
        <v>7</v>
      </c>
      <c r="H3" s="142">
        <v>8</v>
      </c>
      <c r="I3" s="142">
        <v>10</v>
      </c>
      <c r="J3" s="142">
        <v>11</v>
      </c>
      <c r="K3" s="142">
        <v>12</v>
      </c>
      <c r="L3" s="142">
        <v>13</v>
      </c>
      <c r="M3" s="142">
        <v>15</v>
      </c>
      <c r="N3" s="142">
        <v>16</v>
      </c>
      <c r="O3" s="142">
        <v>3</v>
      </c>
      <c r="P3" s="142">
        <v>9</v>
      </c>
      <c r="Q3" s="142">
        <v>14</v>
      </c>
      <c r="R3" s="142">
        <v>17</v>
      </c>
      <c r="S3" s="142">
        <v>18</v>
      </c>
      <c r="T3" s="142">
        <v>19</v>
      </c>
      <c r="U3" s="142" t="s">
        <v>4</v>
      </c>
      <c r="V3" s="142" t="s">
        <v>17</v>
      </c>
    </row>
    <row r="4" spans="1:22" ht="14.1" customHeight="1" x14ac:dyDescent="0.25">
      <c r="A4" s="141" t="s">
        <v>3</v>
      </c>
      <c r="B4" s="188">
        <v>1</v>
      </c>
      <c r="C4" s="188">
        <v>1</v>
      </c>
      <c r="D4" s="188">
        <v>1</v>
      </c>
      <c r="E4" s="188">
        <v>1</v>
      </c>
      <c r="F4" s="188">
        <v>2</v>
      </c>
      <c r="G4" s="188">
        <v>2</v>
      </c>
      <c r="H4" s="188">
        <v>2</v>
      </c>
      <c r="I4" s="188">
        <v>2</v>
      </c>
      <c r="J4" s="188">
        <v>2</v>
      </c>
      <c r="K4" s="188">
        <v>2</v>
      </c>
      <c r="L4" s="188">
        <v>2</v>
      </c>
      <c r="M4" s="188">
        <v>1</v>
      </c>
      <c r="N4" s="188">
        <v>1</v>
      </c>
      <c r="O4" s="188">
        <v>1</v>
      </c>
      <c r="P4" s="188">
        <v>2</v>
      </c>
      <c r="Q4" s="188">
        <v>5</v>
      </c>
      <c r="R4" s="188">
        <v>3</v>
      </c>
      <c r="S4" s="188">
        <v>1</v>
      </c>
      <c r="T4" s="188">
        <v>5</v>
      </c>
      <c r="U4" s="142">
        <f>SUM(B4:T4)</f>
        <v>37</v>
      </c>
      <c r="V4" s="142"/>
    </row>
    <row r="5" spans="1:22" x14ac:dyDescent="0.25">
      <c r="A5" s="122" t="s">
        <v>0</v>
      </c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</row>
    <row r="6" spans="1:22" x14ac:dyDescent="0.25">
      <c r="A6" s="123" t="str">
        <f>(IF(Info!$B3&lt;&gt;"",Info!$B3,""))</f>
        <v>Cal Ripkin</v>
      </c>
      <c r="B6" s="124">
        <v>1</v>
      </c>
      <c r="C6" s="124">
        <v>1</v>
      </c>
      <c r="D6" s="124">
        <v>1</v>
      </c>
      <c r="E6" s="124">
        <v>1</v>
      </c>
      <c r="F6" s="124">
        <v>2</v>
      </c>
      <c r="G6" s="124">
        <v>2</v>
      </c>
      <c r="H6" s="124">
        <v>1</v>
      </c>
      <c r="I6" s="124">
        <v>2</v>
      </c>
      <c r="J6" s="124">
        <v>1</v>
      </c>
      <c r="K6" s="124">
        <v>2</v>
      </c>
      <c r="L6" s="124">
        <v>2</v>
      </c>
      <c r="M6" s="124">
        <v>1</v>
      </c>
      <c r="N6" s="124">
        <v>1</v>
      </c>
      <c r="O6" s="124">
        <v>1</v>
      </c>
      <c r="P6" s="124">
        <v>2</v>
      </c>
      <c r="Q6" s="124">
        <v>4</v>
      </c>
      <c r="R6" s="124">
        <v>3</v>
      </c>
      <c r="S6" s="124">
        <v>1</v>
      </c>
      <c r="T6" s="124">
        <v>5</v>
      </c>
      <c r="U6" s="125">
        <f t="shared" ref="U6:U51" si="0">IF(COUNTA(B6:T6)=0,"",SUM(B6:T6))</f>
        <v>34</v>
      </c>
      <c r="V6" s="126">
        <f t="shared" ref="V6:V51" si="1">IF(COUNTA(B6:T6)=0,"",SUM(B6:T6)/$U$4)</f>
        <v>0.91891891891891897</v>
      </c>
    </row>
    <row r="7" spans="1:22" x14ac:dyDescent="0.25">
      <c r="A7" s="123" t="str">
        <f>(IF(Info!$B4&lt;&gt;"",Info!$B4,""))</f>
        <v>Brooks Robinson</v>
      </c>
      <c r="B7" s="124">
        <v>1</v>
      </c>
      <c r="C7" s="124">
        <v>1</v>
      </c>
      <c r="D7" s="124">
        <v>1</v>
      </c>
      <c r="E7" s="124">
        <v>1</v>
      </c>
      <c r="F7" s="124">
        <v>2</v>
      </c>
      <c r="G7" s="124">
        <v>2</v>
      </c>
      <c r="H7" s="124">
        <v>2</v>
      </c>
      <c r="I7" s="124">
        <v>2</v>
      </c>
      <c r="J7" s="124">
        <v>2</v>
      </c>
      <c r="K7" s="124">
        <v>2</v>
      </c>
      <c r="L7" s="124">
        <v>2</v>
      </c>
      <c r="M7" s="124">
        <v>1</v>
      </c>
      <c r="N7" s="124">
        <v>1</v>
      </c>
      <c r="O7" s="124">
        <v>1</v>
      </c>
      <c r="P7" s="124">
        <v>2</v>
      </c>
      <c r="Q7" s="124">
        <v>5</v>
      </c>
      <c r="R7" s="124">
        <v>3</v>
      </c>
      <c r="S7" s="124">
        <v>1</v>
      </c>
      <c r="T7" s="124">
        <v>4</v>
      </c>
      <c r="U7" s="125">
        <f t="shared" si="0"/>
        <v>36</v>
      </c>
      <c r="V7" s="126">
        <f t="shared" si="1"/>
        <v>0.97297297297297303</v>
      </c>
    </row>
    <row r="8" spans="1:22" x14ac:dyDescent="0.25">
      <c r="A8" s="123" t="str">
        <f>(IF(Info!$B5&lt;&gt;"",Info!$B5,""))</f>
        <v>Frank Robinson</v>
      </c>
      <c r="B8" s="124">
        <v>1</v>
      </c>
      <c r="C8" s="124">
        <v>1</v>
      </c>
      <c r="D8" s="124">
        <v>1</v>
      </c>
      <c r="E8" s="124">
        <v>1</v>
      </c>
      <c r="F8" s="124">
        <v>2</v>
      </c>
      <c r="G8" s="124">
        <v>2</v>
      </c>
      <c r="H8" s="124">
        <v>2</v>
      </c>
      <c r="I8" s="124">
        <v>2</v>
      </c>
      <c r="J8" s="124">
        <v>2</v>
      </c>
      <c r="K8" s="124">
        <v>1</v>
      </c>
      <c r="L8" s="124">
        <v>2</v>
      </c>
      <c r="M8" s="124">
        <v>1</v>
      </c>
      <c r="N8" s="124">
        <v>1</v>
      </c>
      <c r="O8" s="124">
        <v>1</v>
      </c>
      <c r="P8" s="124">
        <v>2</v>
      </c>
      <c r="Q8" s="124">
        <v>5</v>
      </c>
      <c r="R8" s="124">
        <v>3</v>
      </c>
      <c r="S8" s="124">
        <v>1</v>
      </c>
      <c r="T8" s="124">
        <v>5</v>
      </c>
      <c r="U8" s="125">
        <f t="shared" si="0"/>
        <v>36</v>
      </c>
      <c r="V8" s="126">
        <f t="shared" si="1"/>
        <v>0.97297297297297303</v>
      </c>
    </row>
    <row r="9" spans="1:22" x14ac:dyDescent="0.25">
      <c r="A9" s="123" t="str">
        <f>(IF(Info!$B6&lt;&gt;"",Info!$B6,""))</f>
        <v>Jim Palmer</v>
      </c>
      <c r="B9" s="124">
        <v>1</v>
      </c>
      <c r="C9" s="124">
        <v>1</v>
      </c>
      <c r="D9" s="124">
        <v>1</v>
      </c>
      <c r="E9" s="124">
        <v>1</v>
      </c>
      <c r="F9" s="124">
        <v>2</v>
      </c>
      <c r="G9" s="124">
        <v>2</v>
      </c>
      <c r="H9" s="124">
        <v>2</v>
      </c>
      <c r="I9" s="124">
        <v>1</v>
      </c>
      <c r="J9" s="124">
        <v>2</v>
      </c>
      <c r="K9" s="124">
        <v>2</v>
      </c>
      <c r="L9" s="124">
        <v>2</v>
      </c>
      <c r="M9" s="124">
        <v>1</v>
      </c>
      <c r="N9" s="124">
        <v>1</v>
      </c>
      <c r="O9" s="124">
        <v>1</v>
      </c>
      <c r="P9" s="124">
        <v>2</v>
      </c>
      <c r="Q9" s="124">
        <v>4</v>
      </c>
      <c r="R9" s="124">
        <v>3</v>
      </c>
      <c r="S9" s="124">
        <v>1</v>
      </c>
      <c r="T9" s="124">
        <v>5</v>
      </c>
      <c r="U9" s="125">
        <f t="shared" si="0"/>
        <v>35</v>
      </c>
      <c r="V9" s="126">
        <f t="shared" si="1"/>
        <v>0.94594594594594594</v>
      </c>
    </row>
    <row r="10" spans="1:22" x14ac:dyDescent="0.25">
      <c r="A10" s="123" t="str">
        <f>(IF(Info!$B7&lt;&gt;"",Info!$B7,""))</f>
        <v>Eddie Murray</v>
      </c>
      <c r="B10" s="124">
        <v>1</v>
      </c>
      <c r="C10" s="124">
        <v>1</v>
      </c>
      <c r="D10" s="124">
        <v>1</v>
      </c>
      <c r="E10" s="124">
        <v>1</v>
      </c>
      <c r="F10" s="124">
        <v>2</v>
      </c>
      <c r="G10" s="124">
        <v>2</v>
      </c>
      <c r="H10" s="124">
        <v>2</v>
      </c>
      <c r="I10" s="124">
        <v>2</v>
      </c>
      <c r="J10" s="124">
        <v>2</v>
      </c>
      <c r="K10" s="124">
        <v>1</v>
      </c>
      <c r="L10" s="124">
        <v>2</v>
      </c>
      <c r="M10" s="124">
        <v>1</v>
      </c>
      <c r="N10" s="124">
        <v>1</v>
      </c>
      <c r="O10" s="124">
        <v>1</v>
      </c>
      <c r="P10" s="124">
        <v>1</v>
      </c>
      <c r="Q10" s="124">
        <v>5</v>
      </c>
      <c r="R10" s="124">
        <v>0</v>
      </c>
      <c r="S10" s="124">
        <v>1</v>
      </c>
      <c r="T10" s="124">
        <v>4</v>
      </c>
      <c r="U10" s="125">
        <f t="shared" si="0"/>
        <v>31</v>
      </c>
      <c r="V10" s="126">
        <f t="shared" si="1"/>
        <v>0.83783783783783783</v>
      </c>
    </row>
    <row r="11" spans="1:22" x14ac:dyDescent="0.25">
      <c r="A11" s="123" t="str">
        <f>(IF(Info!$B8&lt;&gt;"",Info!$B8,""))</f>
        <v>Manny Machado</v>
      </c>
      <c r="B11" s="124">
        <v>1</v>
      </c>
      <c r="C11" s="124">
        <v>1</v>
      </c>
      <c r="D11" s="124">
        <v>1</v>
      </c>
      <c r="E11" s="124">
        <v>1</v>
      </c>
      <c r="F11" s="124">
        <v>2</v>
      </c>
      <c r="G11" s="124">
        <v>2</v>
      </c>
      <c r="H11" s="124">
        <v>2</v>
      </c>
      <c r="I11" s="124">
        <v>1</v>
      </c>
      <c r="J11" s="124">
        <v>2</v>
      </c>
      <c r="K11" s="124">
        <v>1</v>
      </c>
      <c r="L11" s="124">
        <v>2</v>
      </c>
      <c r="M11" s="124">
        <v>1</v>
      </c>
      <c r="N11" s="124">
        <v>1</v>
      </c>
      <c r="O11" s="124">
        <v>1</v>
      </c>
      <c r="P11" s="124">
        <v>1</v>
      </c>
      <c r="Q11" s="124">
        <v>3</v>
      </c>
      <c r="R11" s="124">
        <v>3</v>
      </c>
      <c r="S11" s="124">
        <v>1</v>
      </c>
      <c r="T11" s="124">
        <v>5</v>
      </c>
      <c r="U11" s="125">
        <f t="shared" si="0"/>
        <v>32</v>
      </c>
      <c r="V11" s="126">
        <f t="shared" si="1"/>
        <v>0.86486486486486491</v>
      </c>
    </row>
    <row r="12" spans="1:22" x14ac:dyDescent="0.25">
      <c r="A12" s="123" t="str">
        <f>(IF(Info!$B9&lt;&gt;"",Info!$B9,""))</f>
        <v>Boog Powell</v>
      </c>
      <c r="B12" s="124">
        <v>11</v>
      </c>
      <c r="C12" s="124">
        <v>1</v>
      </c>
      <c r="D12" s="124">
        <v>1</v>
      </c>
      <c r="E12" s="124">
        <v>1</v>
      </c>
      <c r="F12" s="124">
        <v>2</v>
      </c>
      <c r="G12" s="124">
        <v>2</v>
      </c>
      <c r="H12" s="124">
        <v>2</v>
      </c>
      <c r="I12" s="124">
        <v>2</v>
      </c>
      <c r="J12" s="124">
        <v>2</v>
      </c>
      <c r="K12" s="124">
        <v>1</v>
      </c>
      <c r="L12" s="124">
        <v>1</v>
      </c>
      <c r="M12" s="124">
        <v>1</v>
      </c>
      <c r="N12" s="124">
        <v>1</v>
      </c>
      <c r="O12" s="124">
        <v>1</v>
      </c>
      <c r="P12" s="124">
        <v>2</v>
      </c>
      <c r="Q12" s="124">
        <v>5</v>
      </c>
      <c r="R12" s="124">
        <v>1</v>
      </c>
      <c r="S12" s="124">
        <v>1</v>
      </c>
      <c r="T12" s="124">
        <v>4</v>
      </c>
      <c r="U12" s="125">
        <f t="shared" si="0"/>
        <v>42</v>
      </c>
      <c r="V12" s="126">
        <f t="shared" si="1"/>
        <v>1.1351351351351351</v>
      </c>
    </row>
    <row r="13" spans="1:22" x14ac:dyDescent="0.25">
      <c r="A13" s="123" t="str">
        <f>(IF(Info!$B10&lt;&gt;"",Info!$B10,""))</f>
        <v>Brady Anderson</v>
      </c>
      <c r="B13" s="124">
        <v>1</v>
      </c>
      <c r="C13" s="124">
        <v>1</v>
      </c>
      <c r="D13" s="124">
        <v>1</v>
      </c>
      <c r="E13" s="124">
        <v>1</v>
      </c>
      <c r="F13" s="124">
        <v>2</v>
      </c>
      <c r="G13" s="124">
        <v>2</v>
      </c>
      <c r="H13" s="124">
        <v>2</v>
      </c>
      <c r="I13" s="124">
        <v>2</v>
      </c>
      <c r="J13" s="124">
        <v>2</v>
      </c>
      <c r="K13" s="124">
        <v>2</v>
      </c>
      <c r="L13" s="124">
        <v>2</v>
      </c>
      <c r="M13" s="124">
        <v>1</v>
      </c>
      <c r="N13" s="124">
        <v>1</v>
      </c>
      <c r="O13" s="124">
        <v>1</v>
      </c>
      <c r="P13" s="124">
        <v>2</v>
      </c>
      <c r="Q13" s="124">
        <v>5</v>
      </c>
      <c r="R13" s="124">
        <v>3</v>
      </c>
      <c r="S13" s="124">
        <v>1</v>
      </c>
      <c r="T13" s="124">
        <v>5</v>
      </c>
      <c r="U13" s="125">
        <f t="shared" si="0"/>
        <v>37</v>
      </c>
      <c r="V13" s="126">
        <f t="shared" si="1"/>
        <v>1</v>
      </c>
    </row>
    <row r="14" spans="1:22" x14ac:dyDescent="0.25">
      <c r="A14" s="123" t="str">
        <f>(IF(Info!$B11&lt;&gt;"",Info!$B11,""))</f>
        <v>Rafael Palmero</v>
      </c>
      <c r="B14" s="124">
        <v>1</v>
      </c>
      <c r="C14" s="124">
        <v>1</v>
      </c>
      <c r="D14" s="124">
        <v>0</v>
      </c>
      <c r="E14" s="124">
        <v>1</v>
      </c>
      <c r="F14" s="124">
        <v>2</v>
      </c>
      <c r="G14" s="124">
        <v>2</v>
      </c>
      <c r="H14" s="124">
        <v>2</v>
      </c>
      <c r="I14" s="124">
        <v>2</v>
      </c>
      <c r="J14" s="124">
        <v>2</v>
      </c>
      <c r="K14" s="124">
        <v>2</v>
      </c>
      <c r="L14" s="124">
        <v>2</v>
      </c>
      <c r="M14" s="124">
        <v>1</v>
      </c>
      <c r="N14" s="124">
        <v>1</v>
      </c>
      <c r="O14" s="124">
        <v>1</v>
      </c>
      <c r="P14" s="124">
        <v>2</v>
      </c>
      <c r="Q14" s="124">
        <v>5</v>
      </c>
      <c r="R14" s="124">
        <v>3</v>
      </c>
      <c r="S14" s="124">
        <v>1</v>
      </c>
      <c r="T14" s="124">
        <v>5</v>
      </c>
      <c r="U14" s="125">
        <f t="shared" si="0"/>
        <v>36</v>
      </c>
      <c r="V14" s="126">
        <f t="shared" si="1"/>
        <v>0.97297297297297303</v>
      </c>
    </row>
    <row r="15" spans="1:22" x14ac:dyDescent="0.25">
      <c r="A15" s="123" t="str">
        <f>(IF(Info!$B12&lt;&gt;"",Info!$B12,""))</f>
        <v>Melvin Mora</v>
      </c>
      <c r="B15" s="124">
        <v>1</v>
      </c>
      <c r="C15" s="124">
        <v>1</v>
      </c>
      <c r="D15" s="124">
        <v>0</v>
      </c>
      <c r="E15" s="124">
        <v>1</v>
      </c>
      <c r="F15" s="124">
        <v>2</v>
      </c>
      <c r="G15" s="124">
        <v>2</v>
      </c>
      <c r="H15" s="124">
        <v>2</v>
      </c>
      <c r="I15" s="124">
        <v>2</v>
      </c>
      <c r="J15" s="124">
        <v>2</v>
      </c>
      <c r="K15" s="124">
        <v>1</v>
      </c>
      <c r="L15" s="124">
        <v>1</v>
      </c>
      <c r="M15" s="124">
        <v>1</v>
      </c>
      <c r="N15" s="124">
        <v>1</v>
      </c>
      <c r="O15" s="124">
        <v>1</v>
      </c>
      <c r="P15" s="124">
        <v>2</v>
      </c>
      <c r="Q15" s="124">
        <v>5</v>
      </c>
      <c r="R15" s="124">
        <v>3</v>
      </c>
      <c r="S15" s="124">
        <v>1</v>
      </c>
      <c r="T15" s="124">
        <v>3</v>
      </c>
      <c r="U15" s="125">
        <f t="shared" si="0"/>
        <v>32</v>
      </c>
      <c r="V15" s="126">
        <f t="shared" si="1"/>
        <v>0.86486486486486491</v>
      </c>
    </row>
    <row r="16" spans="1:22" x14ac:dyDescent="0.25">
      <c r="A16" s="123" t="str">
        <f>(IF(Info!$B13&lt;&gt;"",Info!$B13,""))</f>
        <v>Dave McNally</v>
      </c>
      <c r="B16" s="124">
        <v>1</v>
      </c>
      <c r="C16" s="124">
        <v>1</v>
      </c>
      <c r="D16" s="124">
        <v>1</v>
      </c>
      <c r="E16" s="124">
        <v>1</v>
      </c>
      <c r="F16" s="124">
        <v>2</v>
      </c>
      <c r="G16" s="124">
        <v>2</v>
      </c>
      <c r="H16" s="124">
        <v>2</v>
      </c>
      <c r="I16" s="124">
        <v>1</v>
      </c>
      <c r="J16" s="124">
        <v>2</v>
      </c>
      <c r="K16" s="124">
        <v>2</v>
      </c>
      <c r="L16" s="124">
        <v>2</v>
      </c>
      <c r="M16" s="124">
        <v>1</v>
      </c>
      <c r="N16" s="124">
        <v>1</v>
      </c>
      <c r="O16" s="124">
        <v>1</v>
      </c>
      <c r="P16" s="124">
        <v>2</v>
      </c>
      <c r="Q16" s="124">
        <v>5</v>
      </c>
      <c r="R16" s="124">
        <v>3</v>
      </c>
      <c r="S16" s="124">
        <v>1</v>
      </c>
      <c r="T16" s="124">
        <v>0</v>
      </c>
      <c r="U16" s="125">
        <f t="shared" si="0"/>
        <v>31</v>
      </c>
      <c r="V16" s="126">
        <f t="shared" si="1"/>
        <v>0.83783783783783783</v>
      </c>
    </row>
    <row r="17" spans="1:22" x14ac:dyDescent="0.25">
      <c r="A17" s="123" t="str">
        <f>(IF(Info!$B14&lt;&gt;"",Info!$B14,""))</f>
        <v>Ken Singleton</v>
      </c>
      <c r="B17" s="124">
        <v>1</v>
      </c>
      <c r="C17" s="124">
        <v>1</v>
      </c>
      <c r="D17" s="124">
        <v>0</v>
      </c>
      <c r="E17" s="124">
        <v>1</v>
      </c>
      <c r="F17" s="124">
        <v>2</v>
      </c>
      <c r="G17" s="124">
        <v>2</v>
      </c>
      <c r="H17" s="124">
        <v>2</v>
      </c>
      <c r="I17" s="124">
        <v>1</v>
      </c>
      <c r="J17" s="124">
        <v>2</v>
      </c>
      <c r="K17" s="124">
        <v>1</v>
      </c>
      <c r="L17" s="124">
        <v>2</v>
      </c>
      <c r="M17" s="124">
        <v>1</v>
      </c>
      <c r="N17" s="124">
        <v>1</v>
      </c>
      <c r="O17" s="124">
        <v>1</v>
      </c>
      <c r="P17" s="124">
        <v>2</v>
      </c>
      <c r="Q17" s="124">
        <v>5</v>
      </c>
      <c r="R17" s="124">
        <v>3</v>
      </c>
      <c r="S17" s="124">
        <v>0</v>
      </c>
      <c r="T17" s="124">
        <v>5</v>
      </c>
      <c r="U17" s="125">
        <f t="shared" si="0"/>
        <v>33</v>
      </c>
      <c r="V17" s="126">
        <f t="shared" si="1"/>
        <v>0.89189189189189189</v>
      </c>
    </row>
    <row r="18" spans="1:22" x14ac:dyDescent="0.25">
      <c r="A18" s="123" t="str">
        <f>(IF(Info!$B15&lt;&gt;"",Info!$B15,""))</f>
        <v>Jonathan Schoop</v>
      </c>
      <c r="B18" s="124">
        <v>1</v>
      </c>
      <c r="C18" s="124">
        <v>1</v>
      </c>
      <c r="D18" s="124">
        <v>0</v>
      </c>
      <c r="E18" s="124">
        <v>1</v>
      </c>
      <c r="F18" s="124">
        <v>2</v>
      </c>
      <c r="G18" s="124">
        <v>2</v>
      </c>
      <c r="H18" s="124">
        <v>2</v>
      </c>
      <c r="I18" s="124">
        <v>2</v>
      </c>
      <c r="J18" s="124">
        <v>2</v>
      </c>
      <c r="K18" s="124">
        <v>2</v>
      </c>
      <c r="L18" s="124">
        <v>2</v>
      </c>
      <c r="M18" s="124">
        <v>1</v>
      </c>
      <c r="N18" s="124">
        <v>1</v>
      </c>
      <c r="O18" s="124">
        <v>1</v>
      </c>
      <c r="P18" s="124">
        <v>2</v>
      </c>
      <c r="Q18" s="124">
        <v>5</v>
      </c>
      <c r="R18" s="124">
        <v>3</v>
      </c>
      <c r="S18" s="124">
        <v>0</v>
      </c>
      <c r="T18" s="124">
        <v>4</v>
      </c>
      <c r="U18" s="125">
        <f t="shared" si="0"/>
        <v>34</v>
      </c>
      <c r="V18" s="126">
        <f t="shared" si="1"/>
        <v>0.91891891891891897</v>
      </c>
    </row>
    <row r="19" spans="1:22" x14ac:dyDescent="0.25">
      <c r="A19" s="123" t="str">
        <f>(IF(Info!$B16&lt;&gt;"",Info!$B16,""))</f>
        <v>Paul Blair</v>
      </c>
      <c r="B19" s="124">
        <v>1</v>
      </c>
      <c r="C19" s="124">
        <v>1</v>
      </c>
      <c r="D19" s="124">
        <v>0</v>
      </c>
      <c r="E19" s="124">
        <v>1</v>
      </c>
      <c r="F19" s="124">
        <v>2</v>
      </c>
      <c r="G19" s="124">
        <v>2</v>
      </c>
      <c r="H19" s="124">
        <v>2</v>
      </c>
      <c r="I19" s="124">
        <v>2</v>
      </c>
      <c r="J19" s="124">
        <v>2</v>
      </c>
      <c r="K19" s="124">
        <v>2</v>
      </c>
      <c r="L19" s="124">
        <v>2</v>
      </c>
      <c r="M19" s="124">
        <v>1</v>
      </c>
      <c r="N19" s="124">
        <v>1</v>
      </c>
      <c r="O19" s="124">
        <v>1</v>
      </c>
      <c r="P19" s="124">
        <v>2</v>
      </c>
      <c r="Q19" s="124">
        <v>5</v>
      </c>
      <c r="R19" s="124">
        <v>3</v>
      </c>
      <c r="S19" s="124">
        <v>0</v>
      </c>
      <c r="T19" s="124">
        <v>5</v>
      </c>
      <c r="U19" s="125">
        <f t="shared" si="0"/>
        <v>35</v>
      </c>
      <c r="V19" s="126">
        <f t="shared" si="1"/>
        <v>0.94594594594594594</v>
      </c>
    </row>
    <row r="20" spans="1:22" x14ac:dyDescent="0.25">
      <c r="A20" s="123" t="str">
        <f>(IF(Info!$B17&lt;&gt;"",Info!$B17,""))</f>
        <v>Mark Belanger</v>
      </c>
      <c r="B20" s="124">
        <v>1</v>
      </c>
      <c r="C20" s="124">
        <v>1</v>
      </c>
      <c r="D20" s="124">
        <v>1</v>
      </c>
      <c r="E20" s="124">
        <v>1</v>
      </c>
      <c r="F20" s="124">
        <v>2</v>
      </c>
      <c r="G20" s="124">
        <v>2</v>
      </c>
      <c r="H20" s="124">
        <v>2</v>
      </c>
      <c r="I20" s="124">
        <v>2</v>
      </c>
      <c r="J20" s="124">
        <v>2</v>
      </c>
      <c r="K20" s="124">
        <v>2</v>
      </c>
      <c r="L20" s="124">
        <v>1</v>
      </c>
      <c r="M20" s="124">
        <v>1</v>
      </c>
      <c r="N20" s="124">
        <v>1</v>
      </c>
      <c r="O20" s="124">
        <v>1</v>
      </c>
      <c r="P20" s="124">
        <v>2</v>
      </c>
      <c r="Q20" s="124">
        <v>5</v>
      </c>
      <c r="R20" s="124">
        <v>2</v>
      </c>
      <c r="S20" s="124">
        <v>1</v>
      </c>
      <c r="T20" s="124">
        <v>5</v>
      </c>
      <c r="U20" s="125">
        <f t="shared" si="0"/>
        <v>35</v>
      </c>
      <c r="V20" s="126">
        <f t="shared" si="1"/>
        <v>0.94594594594594594</v>
      </c>
    </row>
    <row r="21" spans="1:22" x14ac:dyDescent="0.25">
      <c r="A21" s="123" t="str">
        <f>(IF(Info!$B18&lt;&gt;"",Info!$B18,""))</f>
        <v>Davey Johnson</v>
      </c>
      <c r="B21" s="124">
        <v>1</v>
      </c>
      <c r="C21" s="124">
        <v>1</v>
      </c>
      <c r="D21" s="124">
        <v>0</v>
      </c>
      <c r="E21" s="124">
        <v>1</v>
      </c>
      <c r="F21" s="124">
        <v>2</v>
      </c>
      <c r="G21" s="124">
        <v>2</v>
      </c>
      <c r="H21" s="124">
        <v>2</v>
      </c>
      <c r="I21" s="124">
        <v>2</v>
      </c>
      <c r="J21" s="124">
        <v>2</v>
      </c>
      <c r="K21" s="124">
        <v>2</v>
      </c>
      <c r="L21" s="124">
        <v>2</v>
      </c>
      <c r="M21" s="124">
        <v>1</v>
      </c>
      <c r="N21" s="124">
        <v>1</v>
      </c>
      <c r="O21" s="124">
        <v>1</v>
      </c>
      <c r="P21" s="124">
        <v>1</v>
      </c>
      <c r="Q21" s="124">
        <v>2</v>
      </c>
      <c r="R21" s="124">
        <v>3</v>
      </c>
      <c r="S21" s="124">
        <v>1</v>
      </c>
      <c r="T21" s="124">
        <v>3</v>
      </c>
      <c r="U21" s="125">
        <f t="shared" si="0"/>
        <v>30</v>
      </c>
      <c r="V21" s="126">
        <f t="shared" si="1"/>
        <v>0.81081081081081086</v>
      </c>
    </row>
    <row r="22" spans="1:22" x14ac:dyDescent="0.25">
      <c r="A22" s="123" t="str">
        <f>(IF(Info!$B19&lt;&gt;"",Info!$B19,""))</f>
        <v>Miguel Tejada</v>
      </c>
      <c r="B22" s="124">
        <v>1</v>
      </c>
      <c r="C22" s="124">
        <v>1</v>
      </c>
      <c r="D22" s="124">
        <v>1</v>
      </c>
      <c r="E22" s="124">
        <v>1</v>
      </c>
      <c r="F22" s="124">
        <v>2</v>
      </c>
      <c r="G22" s="124">
        <v>2</v>
      </c>
      <c r="H22" s="124">
        <v>1</v>
      </c>
      <c r="I22" s="124">
        <v>2</v>
      </c>
      <c r="J22" s="124">
        <v>2</v>
      </c>
      <c r="K22" s="124">
        <v>2</v>
      </c>
      <c r="L22" s="124">
        <v>2</v>
      </c>
      <c r="M22" s="124">
        <v>1</v>
      </c>
      <c r="N22" s="124">
        <v>1</v>
      </c>
      <c r="O22" s="124">
        <v>1</v>
      </c>
      <c r="P22" s="124">
        <v>2</v>
      </c>
      <c r="Q22" s="124">
        <v>4</v>
      </c>
      <c r="R22" s="124">
        <v>2</v>
      </c>
      <c r="S22" s="124">
        <v>1</v>
      </c>
      <c r="T22" s="124">
        <v>4</v>
      </c>
      <c r="U22" s="125">
        <f t="shared" si="0"/>
        <v>33</v>
      </c>
      <c r="V22" s="126">
        <f t="shared" si="1"/>
        <v>0.89189189189189189</v>
      </c>
    </row>
    <row r="23" spans="1:22" x14ac:dyDescent="0.25">
      <c r="A23" s="123" t="str">
        <f>(IF(Info!$B20&lt;&gt;"",Info!$B20,""))</f>
        <v>Adam Jones</v>
      </c>
      <c r="B23" s="124">
        <v>1</v>
      </c>
      <c r="C23" s="124">
        <v>1</v>
      </c>
      <c r="D23" s="124">
        <v>1</v>
      </c>
      <c r="E23" s="124">
        <v>1</v>
      </c>
      <c r="F23" s="124">
        <v>2</v>
      </c>
      <c r="G23" s="124">
        <v>2</v>
      </c>
      <c r="H23" s="124">
        <v>2</v>
      </c>
      <c r="I23" s="124">
        <v>2</v>
      </c>
      <c r="J23" s="124">
        <v>2</v>
      </c>
      <c r="K23" s="124">
        <v>2</v>
      </c>
      <c r="L23" s="124">
        <v>1</v>
      </c>
      <c r="M23" s="124">
        <v>1</v>
      </c>
      <c r="N23" s="124">
        <v>1</v>
      </c>
      <c r="O23" s="124">
        <v>1</v>
      </c>
      <c r="P23" s="124">
        <v>2</v>
      </c>
      <c r="Q23" s="124">
        <v>5</v>
      </c>
      <c r="R23" s="124">
        <v>3</v>
      </c>
      <c r="S23" s="124">
        <v>1</v>
      </c>
      <c r="T23" s="124">
        <v>5</v>
      </c>
      <c r="U23" s="125">
        <f t="shared" si="0"/>
        <v>36</v>
      </c>
      <c r="V23" s="126">
        <f t="shared" si="1"/>
        <v>0.97297297297297303</v>
      </c>
    </row>
    <row r="24" spans="1:22" x14ac:dyDescent="0.25">
      <c r="A24" s="123" t="str">
        <f>(IF(Info!$B21&lt;&gt;"",Info!$B21,""))</f>
        <v/>
      </c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5" t="str">
        <f t="shared" si="0"/>
        <v/>
      </c>
      <c r="V24" s="126" t="str">
        <f t="shared" si="1"/>
        <v/>
      </c>
    </row>
    <row r="25" spans="1:22" x14ac:dyDescent="0.25">
      <c r="A25" s="123" t="str">
        <f>(IF(Info!$B22&lt;&gt;"",Info!$B22,""))</f>
        <v/>
      </c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5" t="str">
        <f t="shared" si="0"/>
        <v/>
      </c>
      <c r="V25" s="126" t="str">
        <f t="shared" si="1"/>
        <v/>
      </c>
    </row>
    <row r="26" spans="1:22" x14ac:dyDescent="0.25">
      <c r="A26" s="123" t="str">
        <f>(IF(Info!$B23&lt;&gt;"",Info!$B23,""))</f>
        <v/>
      </c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5" t="str">
        <f t="shared" si="0"/>
        <v/>
      </c>
      <c r="V26" s="126" t="str">
        <f t="shared" si="1"/>
        <v/>
      </c>
    </row>
    <row r="27" spans="1:22" x14ac:dyDescent="0.25">
      <c r="A27" s="123" t="str">
        <f>(IF(Info!$B24&lt;&gt;"",Info!$B24,""))</f>
        <v/>
      </c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5" t="str">
        <f t="shared" si="0"/>
        <v/>
      </c>
      <c r="V27" s="126" t="str">
        <f t="shared" si="1"/>
        <v/>
      </c>
    </row>
    <row r="28" spans="1:22" x14ac:dyDescent="0.25">
      <c r="A28" s="123" t="str">
        <f>(IF(Info!$B25&lt;&gt;"",Info!$B25,""))</f>
        <v/>
      </c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5" t="str">
        <f t="shared" si="0"/>
        <v/>
      </c>
      <c r="V28" s="126" t="str">
        <f t="shared" si="1"/>
        <v/>
      </c>
    </row>
    <row r="29" spans="1:22" x14ac:dyDescent="0.25">
      <c r="A29" s="123" t="str">
        <f>(IF(Info!$B26&lt;&gt;"",Info!$B26,""))</f>
        <v/>
      </c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5" t="str">
        <f t="shared" si="0"/>
        <v/>
      </c>
      <c r="V29" s="126" t="str">
        <f t="shared" si="1"/>
        <v/>
      </c>
    </row>
    <row r="30" spans="1:22" x14ac:dyDescent="0.25">
      <c r="A30" s="123" t="str">
        <f>(IF(Info!$B27&lt;&gt;"",Info!$B27,""))</f>
        <v/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5" t="str">
        <f t="shared" si="0"/>
        <v/>
      </c>
      <c r="V30" s="126" t="str">
        <f t="shared" si="1"/>
        <v/>
      </c>
    </row>
    <row r="31" spans="1:22" x14ac:dyDescent="0.25">
      <c r="A31" s="123" t="str">
        <f>(IF(Info!$B28&lt;&gt;"",Info!$B28,""))</f>
        <v/>
      </c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5" t="str">
        <f t="shared" si="0"/>
        <v/>
      </c>
      <c r="V31" s="126" t="str">
        <f t="shared" si="1"/>
        <v/>
      </c>
    </row>
    <row r="32" spans="1:22" x14ac:dyDescent="0.25">
      <c r="A32" s="123" t="str">
        <f>(IF(Info!$B29&lt;&gt;"",Info!$B29,""))</f>
        <v/>
      </c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5" t="str">
        <f t="shared" si="0"/>
        <v/>
      </c>
      <c r="V32" s="126" t="str">
        <f t="shared" si="1"/>
        <v/>
      </c>
    </row>
    <row r="33" spans="1:22" x14ac:dyDescent="0.25">
      <c r="A33" s="123" t="str">
        <f>(IF(Info!$B30&lt;&gt;"",Info!$B30,""))</f>
        <v/>
      </c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5" t="str">
        <f t="shared" si="0"/>
        <v/>
      </c>
      <c r="V33" s="126" t="str">
        <f t="shared" si="1"/>
        <v/>
      </c>
    </row>
    <row r="34" spans="1:22" x14ac:dyDescent="0.25">
      <c r="A34" s="123" t="str">
        <f>(IF(Info!$B31&lt;&gt;"",Info!$B31,""))</f>
        <v/>
      </c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5" t="str">
        <f t="shared" si="0"/>
        <v/>
      </c>
      <c r="V34" s="126" t="str">
        <f t="shared" si="1"/>
        <v/>
      </c>
    </row>
    <row r="35" spans="1:22" x14ac:dyDescent="0.25">
      <c r="A35" s="123" t="str">
        <f>(IF(Info!$B32&lt;&gt;"",Info!$B32,""))</f>
        <v/>
      </c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5" t="str">
        <f t="shared" si="0"/>
        <v/>
      </c>
      <c r="V35" s="126" t="str">
        <f t="shared" si="1"/>
        <v/>
      </c>
    </row>
    <row r="36" spans="1:22" x14ac:dyDescent="0.25">
      <c r="A36" s="123" t="str">
        <f>(IF(Info!$B33&lt;&gt;"",Info!$B33,""))</f>
        <v/>
      </c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5" t="str">
        <f t="shared" si="0"/>
        <v/>
      </c>
      <c r="V36" s="126" t="str">
        <f t="shared" si="1"/>
        <v/>
      </c>
    </row>
    <row r="37" spans="1:22" x14ac:dyDescent="0.25">
      <c r="A37" s="123" t="str">
        <f>(IF(Info!$B34&lt;&gt;"",Info!$B34,""))</f>
        <v/>
      </c>
      <c r="B37" s="124"/>
      <c r="C37" s="124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5" t="str">
        <f t="shared" si="0"/>
        <v/>
      </c>
      <c r="V37" s="126" t="str">
        <f t="shared" si="1"/>
        <v/>
      </c>
    </row>
    <row r="38" spans="1:22" x14ac:dyDescent="0.25">
      <c r="A38" s="123" t="str">
        <f>(IF(Info!$B35&lt;&gt;"",Info!$B35,""))</f>
        <v/>
      </c>
      <c r="B38" s="124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5" t="str">
        <f t="shared" si="0"/>
        <v/>
      </c>
      <c r="V38" s="126" t="str">
        <f t="shared" si="1"/>
        <v/>
      </c>
    </row>
    <row r="39" spans="1:22" x14ac:dyDescent="0.25">
      <c r="A39" s="123" t="str">
        <f>(IF(Info!$B36&lt;&gt;"",Info!$B36,""))</f>
        <v/>
      </c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5" t="str">
        <f t="shared" si="0"/>
        <v/>
      </c>
      <c r="V39" s="126" t="str">
        <f t="shared" si="1"/>
        <v/>
      </c>
    </row>
    <row r="40" spans="1:22" x14ac:dyDescent="0.25">
      <c r="A40" s="123" t="str">
        <f>(IF(Info!$B37&lt;&gt;"",Info!$B37,""))</f>
        <v/>
      </c>
      <c r="B40" s="124"/>
      <c r="C40" s="124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5" t="str">
        <f t="shared" si="0"/>
        <v/>
      </c>
      <c r="V40" s="126" t="str">
        <f t="shared" si="1"/>
        <v/>
      </c>
    </row>
    <row r="41" spans="1:22" x14ac:dyDescent="0.25">
      <c r="A41" s="123" t="str">
        <f>(IF(Info!$B38&lt;&gt;"",Info!$B38,""))</f>
        <v/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5" t="str">
        <f t="shared" si="0"/>
        <v/>
      </c>
      <c r="V41" s="126" t="str">
        <f t="shared" si="1"/>
        <v/>
      </c>
    </row>
    <row r="42" spans="1:22" x14ac:dyDescent="0.25">
      <c r="A42" s="123" t="str">
        <f>(IF(Info!$B39&lt;&gt;"",Info!$B39,""))</f>
        <v/>
      </c>
      <c r="B42" s="124"/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5" t="str">
        <f t="shared" si="0"/>
        <v/>
      </c>
      <c r="V42" s="126" t="str">
        <f t="shared" si="1"/>
        <v/>
      </c>
    </row>
    <row r="43" spans="1:22" x14ac:dyDescent="0.25">
      <c r="A43" s="123" t="str">
        <f>(IF(Info!$B40&lt;&gt;"",Info!$B40,""))</f>
        <v/>
      </c>
      <c r="B43" s="124"/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5" t="str">
        <f t="shared" si="0"/>
        <v/>
      </c>
      <c r="V43" s="126" t="str">
        <f t="shared" si="1"/>
        <v/>
      </c>
    </row>
    <row r="44" spans="1:22" x14ac:dyDescent="0.25">
      <c r="A44" s="123" t="str">
        <f>(IF(Info!$B41&lt;&gt;"",Info!$B41,""))</f>
        <v/>
      </c>
      <c r="B44" s="124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5" t="str">
        <f t="shared" si="0"/>
        <v/>
      </c>
      <c r="V44" s="126" t="str">
        <f t="shared" si="1"/>
        <v/>
      </c>
    </row>
    <row r="45" spans="1:22" x14ac:dyDescent="0.25">
      <c r="A45" s="123" t="str">
        <f>(IF(Info!$B42&lt;&gt;"",Info!$B42,""))</f>
        <v/>
      </c>
      <c r="B45" s="124"/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5" t="str">
        <f t="shared" si="0"/>
        <v/>
      </c>
      <c r="V45" s="126" t="str">
        <f t="shared" si="1"/>
        <v/>
      </c>
    </row>
    <row r="46" spans="1:22" x14ac:dyDescent="0.25">
      <c r="A46" s="123" t="str">
        <f>(IF(Info!$B43&lt;&gt;"",Info!$B43,""))</f>
        <v/>
      </c>
      <c r="B46" s="124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25" t="str">
        <f t="shared" si="0"/>
        <v/>
      </c>
      <c r="V46" s="126" t="str">
        <f t="shared" si="1"/>
        <v/>
      </c>
    </row>
    <row r="47" spans="1:22" x14ac:dyDescent="0.25">
      <c r="A47" s="123" t="str">
        <f>(IF(Info!$B44&lt;&gt;"",Info!$B44,""))</f>
        <v/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5" t="str">
        <f t="shared" si="0"/>
        <v/>
      </c>
      <c r="V47" s="126" t="str">
        <f t="shared" si="1"/>
        <v/>
      </c>
    </row>
    <row r="48" spans="1:22" x14ac:dyDescent="0.25">
      <c r="A48" s="123" t="str">
        <f>(IF(Info!$B45&lt;&gt;"",Info!$B45,""))</f>
        <v/>
      </c>
      <c r="B48" s="124"/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5" t="str">
        <f t="shared" si="0"/>
        <v/>
      </c>
      <c r="V48" s="126" t="str">
        <f t="shared" si="1"/>
        <v/>
      </c>
    </row>
    <row r="49" spans="1:22" x14ac:dyDescent="0.25">
      <c r="A49" s="123" t="str">
        <f>(IF(Info!$B46&lt;&gt;"",Info!$B46,""))</f>
        <v/>
      </c>
      <c r="B49" s="124"/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5" t="str">
        <f t="shared" si="0"/>
        <v/>
      </c>
      <c r="V49" s="126" t="str">
        <f t="shared" si="1"/>
        <v/>
      </c>
    </row>
    <row r="50" spans="1:22" x14ac:dyDescent="0.25">
      <c r="A50" s="123" t="str">
        <f>(IF(Info!$B47&lt;&gt;"",Info!$B47,""))</f>
        <v/>
      </c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5" t="str">
        <f t="shared" si="0"/>
        <v/>
      </c>
      <c r="V50" s="126" t="str">
        <f t="shared" si="1"/>
        <v/>
      </c>
    </row>
    <row r="51" spans="1:22" x14ac:dyDescent="0.25">
      <c r="A51" s="123" t="str">
        <f>(IF(Info!$B48&lt;&gt;"",Info!$B48,""))</f>
        <v/>
      </c>
      <c r="B51" s="124"/>
      <c r="C51" s="124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5" t="str">
        <f t="shared" si="0"/>
        <v/>
      </c>
      <c r="V51" s="126" t="str">
        <f t="shared" si="1"/>
        <v/>
      </c>
    </row>
    <row r="52" spans="1:22" x14ac:dyDescent="0.25">
      <c r="R52" s="177"/>
      <c r="S52" s="177"/>
      <c r="T52" s="177"/>
      <c r="U52" s="127"/>
    </row>
    <row r="53" spans="1:22" x14ac:dyDescent="0.25">
      <c r="R53" s="177"/>
      <c r="S53" s="177"/>
      <c r="T53" s="177"/>
    </row>
    <row r="54" spans="1:22" x14ac:dyDescent="0.25">
      <c r="R54" s="177"/>
      <c r="S54" s="177"/>
      <c r="T54" s="177"/>
    </row>
    <row r="55" spans="1:22" x14ac:dyDescent="0.25">
      <c r="R55" s="177"/>
      <c r="S55" s="177"/>
      <c r="T55" s="177"/>
    </row>
    <row r="56" spans="1:22" x14ac:dyDescent="0.25">
      <c r="R56" s="177"/>
      <c r="S56" s="177"/>
      <c r="T56" s="177"/>
    </row>
    <row r="57" spans="1:22" x14ac:dyDescent="0.25">
      <c r="R57" s="177"/>
      <c r="S57" s="177"/>
      <c r="T57" s="177"/>
    </row>
    <row r="58" spans="1:22" x14ac:dyDescent="0.25">
      <c r="R58" s="177"/>
      <c r="S58" s="177"/>
      <c r="T58" s="177"/>
    </row>
    <row r="59" spans="1:22" x14ac:dyDescent="0.25">
      <c r="R59" s="177"/>
      <c r="S59" s="177"/>
      <c r="T59" s="177"/>
    </row>
    <row r="60" spans="1:22" x14ac:dyDescent="0.25">
      <c r="R60" s="197"/>
      <c r="S60" s="197"/>
      <c r="T60" s="197"/>
    </row>
  </sheetData>
  <sheetProtection selectLockedCells="1"/>
  <mergeCells count="8">
    <mergeCell ref="U2:V2"/>
    <mergeCell ref="U1:V1"/>
    <mergeCell ref="B1:C1"/>
    <mergeCell ref="B2:N2"/>
    <mergeCell ref="O2:P2"/>
    <mergeCell ref="Q2:T2"/>
    <mergeCell ref="P1:T1"/>
    <mergeCell ref="E1:O1"/>
  </mergeCells>
  <phoneticPr fontId="1" type="noConversion"/>
  <conditionalFormatting sqref="U1">
    <cfRule type="cellIs" dxfId="97" priority="47" stopIfTrue="1" operator="greaterThanOrEqual">
      <formula>0.85</formula>
    </cfRule>
    <cfRule type="cellIs" dxfId="96" priority="48" stopIfTrue="1" operator="lessThan">
      <formula>0.85</formula>
    </cfRule>
  </conditionalFormatting>
  <conditionalFormatting sqref="B6:B51">
    <cfRule type="expression" dxfId="95" priority="21">
      <formula>COUNTA(B6)&gt;0</formula>
    </cfRule>
    <cfRule type="colorScale" priority="22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:C51">
    <cfRule type="expression" dxfId="94" priority="19">
      <formula>COUNTA(C6)&gt;0</formula>
    </cfRule>
    <cfRule type="colorScale" priority="20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E6:E51">
    <cfRule type="expression" dxfId="93" priority="17">
      <formula>COUNTA(E6)&gt;0</formula>
    </cfRule>
    <cfRule type="colorScale" priority="18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:D51">
    <cfRule type="expression" dxfId="92" priority="15">
      <formula>COUNTA(D6)&gt;0</formula>
    </cfRule>
    <cfRule type="colorScale" priority="16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F6:F51">
    <cfRule type="expression" dxfId="91" priority="13">
      <formula>COUNTA(F6)&gt;0</formula>
    </cfRule>
    <cfRule type="colorScale" priority="14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G6:G51">
    <cfRule type="expression" dxfId="90" priority="45">
      <formula>COUNTA(G6)&gt;0</formula>
    </cfRule>
    <cfRule type="colorScale" priority="46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:H51">
    <cfRule type="expression" dxfId="89" priority="43">
      <formula>COUNTA(H6)&gt;0</formula>
    </cfRule>
    <cfRule type="colorScale" priority="44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6:I51">
    <cfRule type="expression" dxfId="88" priority="41">
      <formula>COUNTA(I6)&gt;0</formula>
    </cfRule>
    <cfRule type="colorScale" priority="42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6:J51">
    <cfRule type="expression" dxfId="87" priority="39">
      <formula>COUNTA(J6)&gt;0</formula>
    </cfRule>
    <cfRule type="colorScale" priority="40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6:K51">
    <cfRule type="expression" dxfId="86" priority="37">
      <formula>COUNTA(K6)&gt;0</formula>
    </cfRule>
    <cfRule type="colorScale" priority="38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6:L51">
    <cfRule type="expression" dxfId="85" priority="35">
      <formula>COUNTA(L6)&gt;0</formula>
    </cfRule>
    <cfRule type="colorScale" priority="36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6:M51">
    <cfRule type="expression" dxfId="84" priority="33">
      <formula>COUNTA(M6)&gt;0</formula>
    </cfRule>
    <cfRule type="colorScale" priority="34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6:N51">
    <cfRule type="expression" dxfId="83" priority="31">
      <formula>COUNTA(N6)&gt;0</formula>
    </cfRule>
    <cfRule type="colorScale" priority="32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6:O51">
    <cfRule type="expression" dxfId="82" priority="29">
      <formula>COUNTA(O6)&gt;0</formula>
    </cfRule>
    <cfRule type="colorScale" priority="30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P6:P51">
    <cfRule type="expression" dxfId="81" priority="27">
      <formula>COUNTA(P6)&gt;0</formula>
    </cfRule>
    <cfRule type="colorScale" priority="28">
      <colorScale>
        <cfvo type="num" val="0"/>
        <cfvo type="num" val="($P$4)/2"/>
        <cfvo type="num" val="$P$4"/>
        <color rgb="FFEA4C4C"/>
        <color rgb="FFFFEB84"/>
        <color theme="6" tint="-0.249977111117893"/>
      </colorScale>
    </cfRule>
  </conditionalFormatting>
  <conditionalFormatting sqref="Q6:Q51">
    <cfRule type="expression" dxfId="80" priority="25">
      <formula>COUNTA(Q6)&gt;0</formula>
    </cfRule>
    <cfRule type="colorScale" priority="26">
      <colorScale>
        <cfvo type="num" val="0"/>
        <cfvo type="num" val="($Q$4)/2"/>
        <cfvo type="num" val="$Q$4"/>
        <color rgb="FFEA4C4C"/>
        <color rgb="FFFFEB84"/>
        <color theme="6" tint="-0.249977111117893"/>
      </colorScale>
    </cfRule>
  </conditionalFormatting>
  <conditionalFormatting sqref="V6:V51">
    <cfRule type="colorScale" priority="11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79" priority="12">
      <formula>ISNUMBER(V6)</formula>
    </cfRule>
  </conditionalFormatting>
  <conditionalFormatting sqref="U6:U51">
    <cfRule type="colorScale" priority="9">
      <colorScale>
        <cfvo type="num" val="0"/>
        <cfvo type="num" val="$U$4/2"/>
        <cfvo type="num" val="$U$4"/>
        <color rgb="FFEA4C4C"/>
        <color rgb="FFFFEB84"/>
        <color theme="6" tint="-0.249977111117893"/>
      </colorScale>
    </cfRule>
    <cfRule type="expression" dxfId="78" priority="10">
      <formula>ISNUMBER(U6)</formula>
    </cfRule>
  </conditionalFormatting>
  <conditionalFormatting sqref="R6:R51">
    <cfRule type="expression" dxfId="77" priority="5">
      <formula>COUNTA(R6)&gt;0</formula>
    </cfRule>
    <cfRule type="colorScale" priority="6">
      <colorScale>
        <cfvo type="num" val="0"/>
        <cfvo type="num" val="($R$4)/2"/>
        <cfvo type="num" val="$R$4"/>
        <color rgb="FFEA4C4C"/>
        <color rgb="FFFFEB84"/>
        <color theme="6" tint="-0.249977111117893"/>
      </colorScale>
    </cfRule>
  </conditionalFormatting>
  <conditionalFormatting sqref="S6:S51">
    <cfRule type="expression" dxfId="76" priority="3">
      <formula>COUNTA(S6)&gt;0</formula>
    </cfRule>
    <cfRule type="colorScale" priority="4">
      <colorScale>
        <cfvo type="num" val="0"/>
        <cfvo type="num" val="($S$4)/2"/>
        <cfvo type="num" val="$S$4"/>
        <color rgb="FFEA4C4C"/>
        <color rgb="FFFFEB84"/>
        <color theme="6" tint="-0.249977111117893"/>
      </colorScale>
    </cfRule>
  </conditionalFormatting>
  <conditionalFormatting sqref="T6:T51">
    <cfRule type="expression" dxfId="75" priority="1">
      <formula>COUNTA(T6)&gt;0</formula>
    </cfRule>
    <cfRule type="colorScale" priority="2">
      <colorScale>
        <cfvo type="num" val="0"/>
        <cfvo type="num" val="($T$4)/2"/>
        <cfvo type="num" val="$T$4"/>
        <color rgb="FFEA4C4C"/>
        <color rgb="FFFFEB84"/>
        <color theme="6" tint="-0.249977111117893"/>
      </colorScale>
    </cfRule>
  </conditionalFormatting>
  <printOptions horizontalCentered="1"/>
  <pageMargins left="0.5" right="0.5" top="1.25" bottom="1" header="0.5" footer="0.5"/>
  <pageSetup orientation="landscape" r:id="rId1"/>
  <headerFooter alignWithMargins="0">
    <oddHeader>&amp;C&amp;"Times New Roman,Bold"&amp;12Mathematics
Skills Analysis Sheet for Addition, Subtraction, and the Number System
Grade 1, &amp;A</oddHeader>
    <oddFooter>&amp;L&amp;"Times New Roman"&amp;8Grade 2, &amp;A
Two-Digit Subtraction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stopIfTrue="1" id="{BA9D8B6F-F30D-4B54-B55B-319FFA7545F0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51"/>
  <sheetViews>
    <sheetView showGridLines="0" zoomScaleNormal="100" workbookViewId="0">
      <selection activeCell="O13" sqref="O13"/>
    </sheetView>
  </sheetViews>
  <sheetFormatPr defaultColWidth="9.140625" defaultRowHeight="15.75" x14ac:dyDescent="0.25"/>
  <cols>
    <col min="1" max="1" width="21.42578125" style="127" customWidth="1"/>
    <col min="2" max="2" width="5.42578125" style="127" customWidth="1"/>
    <col min="3" max="3" width="3.85546875" style="127" customWidth="1"/>
    <col min="4" max="4" width="6.7109375" style="127" customWidth="1"/>
    <col min="5" max="5" width="6.28515625" style="127" customWidth="1"/>
    <col min="6" max="7" width="6" style="127" customWidth="1"/>
    <col min="8" max="8" width="5.140625" style="127" customWidth="1"/>
    <col min="9" max="9" width="6.42578125" style="127" customWidth="1"/>
    <col min="10" max="10" width="5.85546875" style="127" customWidth="1"/>
    <col min="11" max="12" width="6.42578125" style="127" customWidth="1"/>
    <col min="13" max="13" width="6.140625" style="127" customWidth="1"/>
    <col min="14" max="14" width="5.28515625" style="127" customWidth="1"/>
    <col min="15" max="15" width="6.42578125" style="127" customWidth="1"/>
    <col min="16" max="16" width="7.7109375" style="127" customWidth="1"/>
    <col min="17" max="17" width="11.28515625" style="127" customWidth="1"/>
    <col min="18" max="16384" width="9.140625" style="127"/>
  </cols>
  <sheetData>
    <row r="1" spans="1:17" s="183" customFormat="1" ht="52.5" customHeight="1" x14ac:dyDescent="0.2">
      <c r="A1" s="113" t="str">
        <f>IF(Info!B1&lt;&gt;0,Info!B1,"Please fill out info sheet")</f>
        <v>Ms. Johnston</v>
      </c>
      <c r="B1" s="114" t="s">
        <v>41</v>
      </c>
      <c r="C1" s="114"/>
      <c r="D1" s="152" t="s">
        <v>10</v>
      </c>
      <c r="E1" s="217" t="s">
        <v>59</v>
      </c>
      <c r="F1" s="217"/>
      <c r="G1" s="217"/>
      <c r="H1" s="217"/>
      <c r="I1" s="217"/>
      <c r="J1" s="217"/>
      <c r="K1" s="219" t="s">
        <v>37</v>
      </c>
      <c r="L1" s="219"/>
      <c r="M1" s="219"/>
      <c r="N1" s="219"/>
      <c r="O1" s="219"/>
      <c r="P1" s="220">
        <f>IF(COUNTA(class_list)&lt;&gt;0,(COUNTIF(UNIT_7_scores,"&gt;=.795"))/COUNTA(class_list), "N/A")</f>
        <v>1</v>
      </c>
      <c r="Q1" s="207"/>
    </row>
    <row r="2" spans="1:17" s="157" customFormat="1" ht="61.5" customHeight="1" x14ac:dyDescent="0.25">
      <c r="A2" s="221" t="s">
        <v>1</v>
      </c>
      <c r="B2" s="135" t="s">
        <v>51</v>
      </c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7"/>
      <c r="P2" s="139" t="s">
        <v>32</v>
      </c>
      <c r="Q2" s="140"/>
    </row>
    <row r="3" spans="1:17" ht="14.25" customHeight="1" x14ac:dyDescent="0.25">
      <c r="A3" s="141" t="s">
        <v>2</v>
      </c>
      <c r="B3" s="142">
        <v>1</v>
      </c>
      <c r="C3" s="142">
        <v>2</v>
      </c>
      <c r="D3" s="142">
        <v>3</v>
      </c>
      <c r="E3" s="142">
        <v>4</v>
      </c>
      <c r="F3" s="142">
        <v>5</v>
      </c>
      <c r="G3" s="142">
        <v>6</v>
      </c>
      <c r="H3" s="142">
        <v>7</v>
      </c>
      <c r="I3" s="142">
        <v>8</v>
      </c>
      <c r="J3" s="142">
        <v>9</v>
      </c>
      <c r="K3" s="142">
        <v>10</v>
      </c>
      <c r="L3" s="142">
        <v>11</v>
      </c>
      <c r="M3" s="142">
        <v>12</v>
      </c>
      <c r="N3" s="142">
        <v>9</v>
      </c>
      <c r="O3" s="142">
        <v>10</v>
      </c>
      <c r="P3" s="142" t="s">
        <v>4</v>
      </c>
      <c r="Q3" s="142" t="s">
        <v>17</v>
      </c>
    </row>
    <row r="4" spans="1:17" ht="14.25" customHeight="1" x14ac:dyDescent="0.25">
      <c r="A4" s="141" t="s">
        <v>3</v>
      </c>
      <c r="B4" s="188">
        <v>1</v>
      </c>
      <c r="C4" s="188">
        <v>1</v>
      </c>
      <c r="D4" s="188">
        <v>1</v>
      </c>
      <c r="E4" s="188">
        <v>2</v>
      </c>
      <c r="F4" s="188">
        <v>2</v>
      </c>
      <c r="G4" s="188">
        <v>1</v>
      </c>
      <c r="H4" s="188">
        <v>1</v>
      </c>
      <c r="I4" s="188">
        <v>1</v>
      </c>
      <c r="J4" s="188">
        <v>1</v>
      </c>
      <c r="K4" s="188">
        <v>2</v>
      </c>
      <c r="L4" s="188">
        <v>1</v>
      </c>
      <c r="M4" s="188">
        <v>1</v>
      </c>
      <c r="N4" s="188">
        <v>1</v>
      </c>
      <c r="O4" s="188">
        <v>1</v>
      </c>
      <c r="P4" s="142">
        <f>SUM(B4:O4)</f>
        <v>17</v>
      </c>
      <c r="Q4" s="142"/>
    </row>
    <row r="5" spans="1:17" x14ac:dyDescent="0.25">
      <c r="A5" s="122" t="s">
        <v>0</v>
      </c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</row>
    <row r="6" spans="1:17" x14ac:dyDescent="0.25">
      <c r="A6" s="123" t="str">
        <f>(IF(Info!$B3&lt;&gt;"",Info!$B3,""))</f>
        <v>Cal Ripkin</v>
      </c>
      <c r="B6" s="124">
        <v>1</v>
      </c>
      <c r="C6" s="124">
        <v>1</v>
      </c>
      <c r="D6" s="124">
        <v>1</v>
      </c>
      <c r="E6" s="124">
        <v>2</v>
      </c>
      <c r="F6" s="124">
        <v>2</v>
      </c>
      <c r="G6" s="124">
        <v>1</v>
      </c>
      <c r="H6" s="124">
        <v>1</v>
      </c>
      <c r="I6" s="124">
        <v>1</v>
      </c>
      <c r="J6" s="124">
        <v>1</v>
      </c>
      <c r="K6" s="124">
        <v>1</v>
      </c>
      <c r="L6" s="124">
        <v>1</v>
      </c>
      <c r="M6" s="124">
        <v>1</v>
      </c>
      <c r="N6" s="124">
        <v>1</v>
      </c>
      <c r="O6" s="124">
        <v>1</v>
      </c>
      <c r="P6" s="125">
        <f>IF(COUNTA(B6:O6)=0,"",SUM(B6:O6))</f>
        <v>16</v>
      </c>
      <c r="Q6" s="126">
        <f>IF(COUNTA(B6:O6)=0,"",SUM(B6:O6)/$P$4)</f>
        <v>0.94117647058823528</v>
      </c>
    </row>
    <row r="7" spans="1:17" x14ac:dyDescent="0.25">
      <c r="A7" s="123" t="str">
        <f>(IF(Info!$B4&lt;&gt;"",Info!$B4,""))</f>
        <v>Brooks Robinson</v>
      </c>
      <c r="B7" s="124">
        <v>1</v>
      </c>
      <c r="C7" s="124">
        <v>1</v>
      </c>
      <c r="D7" s="124">
        <v>1</v>
      </c>
      <c r="E7" s="124">
        <v>2</v>
      </c>
      <c r="F7" s="124">
        <v>2</v>
      </c>
      <c r="G7" s="124">
        <v>1</v>
      </c>
      <c r="H7" s="124">
        <v>1</v>
      </c>
      <c r="I7" s="124">
        <v>1</v>
      </c>
      <c r="J7" s="124">
        <v>1</v>
      </c>
      <c r="K7" s="124">
        <v>1</v>
      </c>
      <c r="L7" s="124">
        <v>1</v>
      </c>
      <c r="M7" s="124">
        <v>1</v>
      </c>
      <c r="N7" s="124">
        <v>1</v>
      </c>
      <c r="O7" s="124">
        <v>1</v>
      </c>
      <c r="P7" s="125">
        <f t="shared" ref="P7:P51" si="0">IF(COUNTA(B7:O7)=0,"",SUM(B7:O7))</f>
        <v>16</v>
      </c>
      <c r="Q7" s="126">
        <f t="shared" ref="Q7:Q51" si="1">IF(COUNTA(B7:O7)=0,"",SUM(B7:O7)/$P$4)</f>
        <v>0.94117647058823528</v>
      </c>
    </row>
    <row r="8" spans="1:17" x14ac:dyDescent="0.25">
      <c r="A8" s="123" t="str">
        <f>(IF(Info!$B5&lt;&gt;"",Info!$B5,""))</f>
        <v>Frank Robinson</v>
      </c>
      <c r="B8" s="124">
        <v>1</v>
      </c>
      <c r="C8" s="124">
        <v>1</v>
      </c>
      <c r="D8" s="124">
        <v>1</v>
      </c>
      <c r="E8" s="124">
        <v>2</v>
      </c>
      <c r="F8" s="124">
        <v>2</v>
      </c>
      <c r="G8" s="124">
        <v>1</v>
      </c>
      <c r="H8" s="124">
        <v>1</v>
      </c>
      <c r="I8" s="124">
        <v>1</v>
      </c>
      <c r="J8" s="124">
        <v>1</v>
      </c>
      <c r="K8" s="124">
        <v>0</v>
      </c>
      <c r="L8" s="124">
        <v>1</v>
      </c>
      <c r="M8" s="124">
        <v>1</v>
      </c>
      <c r="N8" s="124">
        <v>1</v>
      </c>
      <c r="O8" s="124">
        <v>1</v>
      </c>
      <c r="P8" s="125">
        <f t="shared" si="0"/>
        <v>15</v>
      </c>
      <c r="Q8" s="126">
        <f t="shared" si="1"/>
        <v>0.88235294117647056</v>
      </c>
    </row>
    <row r="9" spans="1:17" x14ac:dyDescent="0.25">
      <c r="A9" s="123" t="str">
        <f>(IF(Info!$B6&lt;&gt;"",Info!$B6,""))</f>
        <v>Jim Palmer</v>
      </c>
      <c r="B9" s="124">
        <v>1</v>
      </c>
      <c r="C9" s="124">
        <v>1</v>
      </c>
      <c r="D9" s="124">
        <v>1</v>
      </c>
      <c r="E9" s="124">
        <v>2</v>
      </c>
      <c r="F9" s="124">
        <v>2</v>
      </c>
      <c r="G9" s="124">
        <v>1</v>
      </c>
      <c r="H9" s="124">
        <v>1</v>
      </c>
      <c r="I9" s="124">
        <v>1</v>
      </c>
      <c r="J9" s="124">
        <v>1</v>
      </c>
      <c r="K9" s="124">
        <v>1</v>
      </c>
      <c r="L9" s="124">
        <v>1</v>
      </c>
      <c r="M9" s="124">
        <v>1</v>
      </c>
      <c r="N9" s="124">
        <v>1</v>
      </c>
      <c r="O9" s="124">
        <v>1</v>
      </c>
      <c r="P9" s="125">
        <f t="shared" si="0"/>
        <v>16</v>
      </c>
      <c r="Q9" s="126">
        <f t="shared" si="1"/>
        <v>0.94117647058823528</v>
      </c>
    </row>
    <row r="10" spans="1:17" x14ac:dyDescent="0.25">
      <c r="A10" s="123" t="str">
        <f>(IF(Info!$B7&lt;&gt;"",Info!$B7,""))</f>
        <v>Eddie Murray</v>
      </c>
      <c r="B10" s="124">
        <v>1</v>
      </c>
      <c r="C10" s="124">
        <v>1</v>
      </c>
      <c r="D10" s="124">
        <v>1</v>
      </c>
      <c r="E10" s="124">
        <v>2</v>
      </c>
      <c r="F10" s="124">
        <v>2</v>
      </c>
      <c r="G10" s="124">
        <v>1</v>
      </c>
      <c r="H10" s="124">
        <v>1</v>
      </c>
      <c r="I10" s="124">
        <v>1</v>
      </c>
      <c r="J10" s="124">
        <v>1</v>
      </c>
      <c r="K10" s="124">
        <v>2</v>
      </c>
      <c r="L10" s="124">
        <v>1</v>
      </c>
      <c r="M10" s="124">
        <v>1</v>
      </c>
      <c r="N10" s="124">
        <v>1</v>
      </c>
      <c r="O10" s="124">
        <v>1</v>
      </c>
      <c r="P10" s="125">
        <f t="shared" si="0"/>
        <v>17</v>
      </c>
      <c r="Q10" s="126">
        <f t="shared" si="1"/>
        <v>1</v>
      </c>
    </row>
    <row r="11" spans="1:17" x14ac:dyDescent="0.25">
      <c r="A11" s="123" t="str">
        <f>(IF(Info!$B8&lt;&gt;"",Info!$B8,""))</f>
        <v>Manny Machado</v>
      </c>
      <c r="B11" s="124">
        <v>1</v>
      </c>
      <c r="C11" s="124">
        <v>1</v>
      </c>
      <c r="D11" s="124">
        <v>1</v>
      </c>
      <c r="E11" s="124">
        <v>2</v>
      </c>
      <c r="F11" s="124">
        <v>1</v>
      </c>
      <c r="G11" s="124">
        <v>1</v>
      </c>
      <c r="H11" s="124">
        <v>1</v>
      </c>
      <c r="I11" s="124">
        <v>1</v>
      </c>
      <c r="J11" s="124">
        <v>1</v>
      </c>
      <c r="K11" s="124">
        <v>1</v>
      </c>
      <c r="L11" s="124">
        <v>1</v>
      </c>
      <c r="M11" s="124">
        <v>1</v>
      </c>
      <c r="N11" s="124">
        <v>1</v>
      </c>
      <c r="O11" s="124">
        <v>1</v>
      </c>
      <c r="P11" s="125">
        <f t="shared" si="0"/>
        <v>15</v>
      </c>
      <c r="Q11" s="126">
        <f t="shared" si="1"/>
        <v>0.88235294117647056</v>
      </c>
    </row>
    <row r="12" spans="1:17" x14ac:dyDescent="0.25">
      <c r="A12" s="123" t="str">
        <f>(IF(Info!$B9&lt;&gt;"",Info!$B9,""))</f>
        <v>Boog Powell</v>
      </c>
      <c r="B12" s="124">
        <v>1</v>
      </c>
      <c r="C12" s="124">
        <v>1</v>
      </c>
      <c r="D12" s="124">
        <v>1</v>
      </c>
      <c r="E12" s="124">
        <v>1</v>
      </c>
      <c r="F12" s="124">
        <v>2</v>
      </c>
      <c r="G12" s="124">
        <v>1</v>
      </c>
      <c r="H12" s="124">
        <v>1</v>
      </c>
      <c r="I12" s="124">
        <v>1</v>
      </c>
      <c r="J12" s="124">
        <v>1</v>
      </c>
      <c r="K12" s="124">
        <v>2</v>
      </c>
      <c r="L12" s="124">
        <v>1</v>
      </c>
      <c r="M12" s="124">
        <v>1</v>
      </c>
      <c r="N12" s="124">
        <v>1</v>
      </c>
      <c r="O12" s="124">
        <v>1</v>
      </c>
      <c r="P12" s="125">
        <f t="shared" si="0"/>
        <v>16</v>
      </c>
      <c r="Q12" s="126">
        <f t="shared" si="1"/>
        <v>0.94117647058823528</v>
      </c>
    </row>
    <row r="13" spans="1:17" x14ac:dyDescent="0.25">
      <c r="A13" s="123" t="str">
        <f>(IF(Info!$B10&lt;&gt;"",Info!$B10,""))</f>
        <v>Brady Anderson</v>
      </c>
      <c r="B13" s="124">
        <v>1</v>
      </c>
      <c r="C13" s="124">
        <v>1</v>
      </c>
      <c r="D13" s="124">
        <v>1</v>
      </c>
      <c r="E13" s="124">
        <v>2</v>
      </c>
      <c r="F13" s="124">
        <v>1</v>
      </c>
      <c r="G13" s="124">
        <v>1</v>
      </c>
      <c r="H13" s="124">
        <v>1</v>
      </c>
      <c r="I13" s="124">
        <v>1</v>
      </c>
      <c r="J13" s="124">
        <v>1</v>
      </c>
      <c r="K13" s="124">
        <v>2</v>
      </c>
      <c r="L13" s="124">
        <v>1</v>
      </c>
      <c r="M13" s="124">
        <v>1</v>
      </c>
      <c r="N13" s="124">
        <v>1</v>
      </c>
      <c r="O13" s="124">
        <v>1</v>
      </c>
      <c r="P13" s="125">
        <f t="shared" si="0"/>
        <v>16</v>
      </c>
      <c r="Q13" s="126">
        <f t="shared" si="1"/>
        <v>0.94117647058823528</v>
      </c>
    </row>
    <row r="14" spans="1:17" x14ac:dyDescent="0.25">
      <c r="A14" s="123" t="str">
        <f>(IF(Info!$B11&lt;&gt;"",Info!$B11,""))</f>
        <v>Rafael Palmero</v>
      </c>
      <c r="B14" s="124">
        <v>1</v>
      </c>
      <c r="C14" s="124">
        <v>1</v>
      </c>
      <c r="D14" s="124">
        <v>1</v>
      </c>
      <c r="E14" s="124">
        <v>2</v>
      </c>
      <c r="F14" s="124">
        <v>2</v>
      </c>
      <c r="G14" s="124">
        <v>1</v>
      </c>
      <c r="H14" s="124">
        <v>1</v>
      </c>
      <c r="I14" s="124">
        <v>1</v>
      </c>
      <c r="J14" s="124">
        <v>0</v>
      </c>
      <c r="K14" s="124">
        <v>1</v>
      </c>
      <c r="L14" s="124">
        <v>1</v>
      </c>
      <c r="M14" s="124">
        <v>1</v>
      </c>
      <c r="N14" s="124">
        <v>1</v>
      </c>
      <c r="O14" s="124">
        <v>1</v>
      </c>
      <c r="P14" s="125">
        <f t="shared" si="0"/>
        <v>15</v>
      </c>
      <c r="Q14" s="126">
        <f t="shared" si="1"/>
        <v>0.88235294117647056</v>
      </c>
    </row>
    <row r="15" spans="1:17" x14ac:dyDescent="0.25">
      <c r="A15" s="123" t="str">
        <f>(IF(Info!$B12&lt;&gt;"",Info!$B12,""))</f>
        <v>Melvin Mora</v>
      </c>
      <c r="B15" s="124">
        <v>1</v>
      </c>
      <c r="C15" s="124">
        <v>1</v>
      </c>
      <c r="D15" s="124">
        <v>1</v>
      </c>
      <c r="E15" s="124">
        <v>2</v>
      </c>
      <c r="F15" s="124">
        <v>1</v>
      </c>
      <c r="G15" s="124">
        <v>1</v>
      </c>
      <c r="H15" s="124">
        <v>1</v>
      </c>
      <c r="I15" s="124">
        <v>1</v>
      </c>
      <c r="J15" s="124">
        <v>1</v>
      </c>
      <c r="K15" s="124">
        <v>1</v>
      </c>
      <c r="L15" s="124">
        <v>1</v>
      </c>
      <c r="M15" s="124">
        <v>1</v>
      </c>
      <c r="N15" s="124">
        <v>1</v>
      </c>
      <c r="O15" s="124">
        <v>1</v>
      </c>
      <c r="P15" s="125">
        <f t="shared" si="0"/>
        <v>15</v>
      </c>
      <c r="Q15" s="126">
        <f t="shared" si="1"/>
        <v>0.88235294117647056</v>
      </c>
    </row>
    <row r="16" spans="1:17" x14ac:dyDescent="0.25">
      <c r="A16" s="123" t="str">
        <f>(IF(Info!$B13&lt;&gt;"",Info!$B13,""))</f>
        <v>Dave McNally</v>
      </c>
      <c r="B16" s="124">
        <v>1</v>
      </c>
      <c r="C16" s="124">
        <v>1</v>
      </c>
      <c r="D16" s="124">
        <v>1</v>
      </c>
      <c r="E16" s="124">
        <v>2</v>
      </c>
      <c r="F16" s="124">
        <v>1</v>
      </c>
      <c r="G16" s="124">
        <v>1</v>
      </c>
      <c r="H16" s="124">
        <v>1</v>
      </c>
      <c r="I16" s="124">
        <v>1</v>
      </c>
      <c r="J16" s="124">
        <v>1</v>
      </c>
      <c r="K16" s="124">
        <v>2</v>
      </c>
      <c r="L16" s="124">
        <v>1</v>
      </c>
      <c r="M16" s="124">
        <v>1</v>
      </c>
      <c r="N16" s="124">
        <v>1</v>
      </c>
      <c r="O16" s="124">
        <v>1</v>
      </c>
      <c r="P16" s="125">
        <f t="shared" si="0"/>
        <v>16</v>
      </c>
      <c r="Q16" s="126">
        <f t="shared" si="1"/>
        <v>0.94117647058823528</v>
      </c>
    </row>
    <row r="17" spans="1:17" x14ac:dyDescent="0.25">
      <c r="A17" s="123" t="str">
        <f>(IF(Info!$B14&lt;&gt;"",Info!$B14,""))</f>
        <v>Ken Singleton</v>
      </c>
      <c r="B17" s="124">
        <v>1</v>
      </c>
      <c r="C17" s="124">
        <v>1</v>
      </c>
      <c r="D17" s="124">
        <v>1</v>
      </c>
      <c r="E17" s="124">
        <v>2</v>
      </c>
      <c r="F17" s="124">
        <v>1</v>
      </c>
      <c r="G17" s="124">
        <v>1</v>
      </c>
      <c r="H17" s="124">
        <v>1</v>
      </c>
      <c r="I17" s="124">
        <v>1</v>
      </c>
      <c r="J17" s="124">
        <v>0</v>
      </c>
      <c r="K17" s="124">
        <v>2</v>
      </c>
      <c r="L17" s="124">
        <v>1</v>
      </c>
      <c r="M17" s="124">
        <v>1</v>
      </c>
      <c r="N17" s="124">
        <v>1</v>
      </c>
      <c r="O17" s="124">
        <v>1</v>
      </c>
      <c r="P17" s="125">
        <f t="shared" si="0"/>
        <v>15</v>
      </c>
      <c r="Q17" s="126">
        <f t="shared" si="1"/>
        <v>0.88235294117647056</v>
      </c>
    </row>
    <row r="18" spans="1:17" x14ac:dyDescent="0.25">
      <c r="A18" s="123" t="str">
        <f>(IF(Info!$B15&lt;&gt;"",Info!$B15,""))</f>
        <v>Jonathan Schoop</v>
      </c>
      <c r="B18" s="124">
        <v>1</v>
      </c>
      <c r="C18" s="124">
        <v>1</v>
      </c>
      <c r="D18" s="124">
        <v>1</v>
      </c>
      <c r="E18" s="124">
        <v>2</v>
      </c>
      <c r="F18" s="124">
        <v>2</v>
      </c>
      <c r="G18" s="124">
        <v>1</v>
      </c>
      <c r="H18" s="124">
        <v>1</v>
      </c>
      <c r="I18" s="124">
        <v>1</v>
      </c>
      <c r="J18" s="124">
        <v>1</v>
      </c>
      <c r="K18" s="124">
        <v>2</v>
      </c>
      <c r="L18" s="124">
        <v>1</v>
      </c>
      <c r="M18" s="124">
        <v>1</v>
      </c>
      <c r="N18" s="124">
        <v>1</v>
      </c>
      <c r="O18" s="124">
        <v>1</v>
      </c>
      <c r="P18" s="125">
        <f t="shared" si="0"/>
        <v>17</v>
      </c>
      <c r="Q18" s="126">
        <f t="shared" si="1"/>
        <v>1</v>
      </c>
    </row>
    <row r="19" spans="1:17" x14ac:dyDescent="0.25">
      <c r="A19" s="123" t="str">
        <f>(IF(Info!$B16&lt;&gt;"",Info!$B16,""))</f>
        <v>Paul Blair</v>
      </c>
      <c r="B19" s="124">
        <v>1</v>
      </c>
      <c r="C19" s="124">
        <v>1</v>
      </c>
      <c r="D19" s="124">
        <v>1</v>
      </c>
      <c r="E19" s="124">
        <v>2</v>
      </c>
      <c r="F19" s="124">
        <v>2</v>
      </c>
      <c r="G19" s="124">
        <v>1</v>
      </c>
      <c r="H19" s="124">
        <v>1</v>
      </c>
      <c r="I19" s="124">
        <v>1</v>
      </c>
      <c r="J19" s="124">
        <v>1</v>
      </c>
      <c r="K19" s="124">
        <v>1</v>
      </c>
      <c r="L19" s="124">
        <v>1</v>
      </c>
      <c r="M19" s="124">
        <v>1</v>
      </c>
      <c r="N19" s="124">
        <v>1</v>
      </c>
      <c r="O19" s="124">
        <v>1</v>
      </c>
      <c r="P19" s="125">
        <f t="shared" si="0"/>
        <v>16</v>
      </c>
      <c r="Q19" s="126">
        <f t="shared" si="1"/>
        <v>0.94117647058823528</v>
      </c>
    </row>
    <row r="20" spans="1:17" x14ac:dyDescent="0.25">
      <c r="A20" s="123" t="str">
        <f>(IF(Info!$B17&lt;&gt;"",Info!$B17,""))</f>
        <v>Mark Belanger</v>
      </c>
      <c r="B20" s="124">
        <v>1</v>
      </c>
      <c r="C20" s="124">
        <v>1</v>
      </c>
      <c r="D20" s="124">
        <v>1</v>
      </c>
      <c r="E20" s="124">
        <v>2</v>
      </c>
      <c r="F20" s="124">
        <v>2</v>
      </c>
      <c r="G20" s="124">
        <v>1</v>
      </c>
      <c r="H20" s="124">
        <v>1</v>
      </c>
      <c r="I20" s="124">
        <v>1</v>
      </c>
      <c r="J20" s="124">
        <v>1</v>
      </c>
      <c r="K20" s="124">
        <v>2</v>
      </c>
      <c r="L20" s="124">
        <v>1</v>
      </c>
      <c r="M20" s="124">
        <v>1</v>
      </c>
      <c r="N20" s="124">
        <v>1</v>
      </c>
      <c r="O20" s="124">
        <v>1</v>
      </c>
      <c r="P20" s="125">
        <f t="shared" si="0"/>
        <v>17</v>
      </c>
      <c r="Q20" s="126">
        <f t="shared" si="1"/>
        <v>1</v>
      </c>
    </row>
    <row r="21" spans="1:17" x14ac:dyDescent="0.25">
      <c r="A21" s="123" t="str">
        <f>(IF(Info!$B18&lt;&gt;"",Info!$B18,""))</f>
        <v>Davey Johnson</v>
      </c>
      <c r="B21" s="124">
        <v>1</v>
      </c>
      <c r="C21" s="124">
        <v>1</v>
      </c>
      <c r="D21" s="124">
        <v>1</v>
      </c>
      <c r="E21" s="124">
        <v>2</v>
      </c>
      <c r="F21" s="124">
        <v>1</v>
      </c>
      <c r="G21" s="124">
        <v>1</v>
      </c>
      <c r="H21" s="124">
        <v>1</v>
      </c>
      <c r="I21" s="124">
        <v>1</v>
      </c>
      <c r="J21" s="124">
        <v>1</v>
      </c>
      <c r="K21" s="124">
        <v>1</v>
      </c>
      <c r="L21" s="124">
        <v>1</v>
      </c>
      <c r="M21" s="124">
        <v>1</v>
      </c>
      <c r="N21" s="124">
        <v>1</v>
      </c>
      <c r="O21" s="124">
        <v>1</v>
      </c>
      <c r="P21" s="125">
        <f t="shared" si="0"/>
        <v>15</v>
      </c>
      <c r="Q21" s="126">
        <f t="shared" si="1"/>
        <v>0.88235294117647056</v>
      </c>
    </row>
    <row r="22" spans="1:17" x14ac:dyDescent="0.25">
      <c r="A22" s="123" t="str">
        <f>(IF(Info!$B19&lt;&gt;"",Info!$B19,""))</f>
        <v>Miguel Tejada</v>
      </c>
      <c r="B22" s="124">
        <v>1</v>
      </c>
      <c r="C22" s="124">
        <v>1</v>
      </c>
      <c r="D22" s="124">
        <v>1</v>
      </c>
      <c r="E22" s="124">
        <v>2</v>
      </c>
      <c r="F22" s="124">
        <v>2</v>
      </c>
      <c r="G22" s="124">
        <v>1</v>
      </c>
      <c r="H22" s="124">
        <v>1</v>
      </c>
      <c r="I22" s="124">
        <v>1</v>
      </c>
      <c r="J22" s="124">
        <v>1</v>
      </c>
      <c r="K22" s="124">
        <v>2</v>
      </c>
      <c r="L22" s="124">
        <v>1</v>
      </c>
      <c r="M22" s="124">
        <v>1</v>
      </c>
      <c r="N22" s="124">
        <v>1</v>
      </c>
      <c r="O22" s="124">
        <v>1</v>
      </c>
      <c r="P22" s="125">
        <f t="shared" si="0"/>
        <v>17</v>
      </c>
      <c r="Q22" s="126">
        <f t="shared" si="1"/>
        <v>1</v>
      </c>
    </row>
    <row r="23" spans="1:17" x14ac:dyDescent="0.25">
      <c r="A23" s="123" t="str">
        <f>(IF(Info!$B20&lt;&gt;"",Info!$B20,""))</f>
        <v>Adam Jones</v>
      </c>
      <c r="B23" s="124">
        <v>1</v>
      </c>
      <c r="C23" s="124">
        <v>1</v>
      </c>
      <c r="D23" s="124">
        <v>1</v>
      </c>
      <c r="E23" s="124">
        <v>2</v>
      </c>
      <c r="F23" s="124">
        <v>1</v>
      </c>
      <c r="G23" s="124">
        <v>1</v>
      </c>
      <c r="H23" s="124">
        <v>1</v>
      </c>
      <c r="I23" s="124">
        <v>1</v>
      </c>
      <c r="J23" s="124">
        <v>1</v>
      </c>
      <c r="K23" s="124">
        <v>1</v>
      </c>
      <c r="L23" s="124">
        <v>1</v>
      </c>
      <c r="M23" s="124">
        <v>1</v>
      </c>
      <c r="N23" s="124">
        <v>1</v>
      </c>
      <c r="O23" s="124">
        <v>1</v>
      </c>
      <c r="P23" s="125">
        <f t="shared" si="0"/>
        <v>15</v>
      </c>
      <c r="Q23" s="126">
        <f t="shared" si="1"/>
        <v>0.88235294117647056</v>
      </c>
    </row>
    <row r="24" spans="1:17" x14ac:dyDescent="0.25">
      <c r="A24" s="123" t="str">
        <f>(IF(Info!$B21&lt;&gt;"",Info!$B21,""))</f>
        <v/>
      </c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5" t="str">
        <f t="shared" si="0"/>
        <v/>
      </c>
      <c r="Q24" s="126" t="str">
        <f t="shared" si="1"/>
        <v/>
      </c>
    </row>
    <row r="25" spans="1:17" x14ac:dyDescent="0.25">
      <c r="A25" s="123" t="str">
        <f>(IF(Info!$B22&lt;&gt;"",Info!$B22,""))</f>
        <v/>
      </c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5" t="str">
        <f t="shared" si="0"/>
        <v/>
      </c>
      <c r="Q25" s="126" t="str">
        <f t="shared" si="1"/>
        <v/>
      </c>
    </row>
    <row r="26" spans="1:17" x14ac:dyDescent="0.25">
      <c r="A26" s="123" t="str">
        <f>(IF(Info!$B23&lt;&gt;"",Info!$B23,""))</f>
        <v/>
      </c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5" t="str">
        <f t="shared" si="0"/>
        <v/>
      </c>
      <c r="Q26" s="126" t="str">
        <f t="shared" si="1"/>
        <v/>
      </c>
    </row>
    <row r="27" spans="1:17" x14ac:dyDescent="0.25">
      <c r="A27" s="123" t="str">
        <f>(IF(Info!$B24&lt;&gt;"",Info!$B24,""))</f>
        <v/>
      </c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5" t="str">
        <f t="shared" si="0"/>
        <v/>
      </c>
      <c r="Q27" s="126" t="str">
        <f t="shared" si="1"/>
        <v/>
      </c>
    </row>
    <row r="28" spans="1:17" x14ac:dyDescent="0.25">
      <c r="A28" s="123" t="str">
        <f>(IF(Info!$B25&lt;&gt;"",Info!$B25,""))</f>
        <v/>
      </c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5" t="str">
        <f t="shared" si="0"/>
        <v/>
      </c>
      <c r="Q28" s="126" t="str">
        <f t="shared" si="1"/>
        <v/>
      </c>
    </row>
    <row r="29" spans="1:17" x14ac:dyDescent="0.25">
      <c r="A29" s="123" t="str">
        <f>(IF(Info!$B26&lt;&gt;"",Info!$B26,""))</f>
        <v/>
      </c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5" t="str">
        <f t="shared" si="0"/>
        <v/>
      </c>
      <c r="Q29" s="126" t="str">
        <f t="shared" si="1"/>
        <v/>
      </c>
    </row>
    <row r="30" spans="1:17" x14ac:dyDescent="0.25">
      <c r="A30" s="123" t="str">
        <f>(IF(Info!$B27&lt;&gt;"",Info!$B27,""))</f>
        <v/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5" t="str">
        <f t="shared" si="0"/>
        <v/>
      </c>
      <c r="Q30" s="126" t="str">
        <f t="shared" si="1"/>
        <v/>
      </c>
    </row>
    <row r="31" spans="1:17" x14ac:dyDescent="0.25">
      <c r="A31" s="123" t="str">
        <f>(IF(Info!$B28&lt;&gt;"",Info!$B28,""))</f>
        <v/>
      </c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5" t="str">
        <f t="shared" si="0"/>
        <v/>
      </c>
      <c r="Q31" s="126" t="str">
        <f t="shared" si="1"/>
        <v/>
      </c>
    </row>
    <row r="32" spans="1:17" x14ac:dyDescent="0.25">
      <c r="A32" s="123" t="str">
        <f>(IF(Info!$B29&lt;&gt;"",Info!$B29,""))</f>
        <v/>
      </c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5" t="str">
        <f t="shared" si="0"/>
        <v/>
      </c>
      <c r="Q32" s="126" t="str">
        <f t="shared" si="1"/>
        <v/>
      </c>
    </row>
    <row r="33" spans="1:17" x14ac:dyDescent="0.25">
      <c r="A33" s="123" t="str">
        <f>(IF(Info!$B30&lt;&gt;"",Info!$B30,""))</f>
        <v/>
      </c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5" t="str">
        <f t="shared" si="0"/>
        <v/>
      </c>
      <c r="Q33" s="126" t="str">
        <f t="shared" si="1"/>
        <v/>
      </c>
    </row>
    <row r="34" spans="1:17" x14ac:dyDescent="0.25">
      <c r="A34" s="123" t="str">
        <f>(IF(Info!$B31&lt;&gt;"",Info!$B31,""))</f>
        <v/>
      </c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5" t="str">
        <f t="shared" si="0"/>
        <v/>
      </c>
      <c r="Q34" s="126" t="str">
        <f t="shared" si="1"/>
        <v/>
      </c>
    </row>
    <row r="35" spans="1:17" x14ac:dyDescent="0.25">
      <c r="A35" s="123" t="str">
        <f>(IF(Info!$B32&lt;&gt;"",Info!$B32,""))</f>
        <v/>
      </c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5" t="str">
        <f t="shared" si="0"/>
        <v/>
      </c>
      <c r="Q35" s="126" t="str">
        <f t="shared" si="1"/>
        <v/>
      </c>
    </row>
    <row r="36" spans="1:17" x14ac:dyDescent="0.25">
      <c r="A36" s="123" t="str">
        <f>(IF(Info!$B33&lt;&gt;"",Info!$B33,""))</f>
        <v/>
      </c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5" t="str">
        <f t="shared" si="0"/>
        <v/>
      </c>
      <c r="Q36" s="126" t="str">
        <f t="shared" si="1"/>
        <v/>
      </c>
    </row>
    <row r="37" spans="1:17" x14ac:dyDescent="0.25">
      <c r="A37" s="123" t="str">
        <f>(IF(Info!$B34&lt;&gt;"",Info!$B34,""))</f>
        <v/>
      </c>
      <c r="B37" s="124"/>
      <c r="C37" s="124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5" t="str">
        <f t="shared" si="0"/>
        <v/>
      </c>
      <c r="Q37" s="126" t="str">
        <f t="shared" si="1"/>
        <v/>
      </c>
    </row>
    <row r="38" spans="1:17" x14ac:dyDescent="0.25">
      <c r="A38" s="123" t="str">
        <f>(IF(Info!$B35&lt;&gt;"",Info!$B35,""))</f>
        <v/>
      </c>
      <c r="B38" s="124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5" t="str">
        <f t="shared" si="0"/>
        <v/>
      </c>
      <c r="Q38" s="126" t="str">
        <f t="shared" si="1"/>
        <v/>
      </c>
    </row>
    <row r="39" spans="1:17" x14ac:dyDescent="0.25">
      <c r="A39" s="123" t="str">
        <f>(IF(Info!$B36&lt;&gt;"",Info!$B36,""))</f>
        <v/>
      </c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5" t="str">
        <f t="shared" si="0"/>
        <v/>
      </c>
      <c r="Q39" s="126" t="str">
        <f t="shared" si="1"/>
        <v/>
      </c>
    </row>
    <row r="40" spans="1:17" x14ac:dyDescent="0.25">
      <c r="A40" s="123" t="str">
        <f>(IF(Info!$B37&lt;&gt;"",Info!$B37,""))</f>
        <v/>
      </c>
      <c r="B40" s="124"/>
      <c r="C40" s="124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5" t="str">
        <f t="shared" si="0"/>
        <v/>
      </c>
      <c r="Q40" s="126" t="str">
        <f t="shared" si="1"/>
        <v/>
      </c>
    </row>
    <row r="41" spans="1:17" x14ac:dyDescent="0.25">
      <c r="A41" s="123" t="str">
        <f>(IF(Info!$B38&lt;&gt;"",Info!$B38,""))</f>
        <v/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5" t="str">
        <f t="shared" si="0"/>
        <v/>
      </c>
      <c r="Q41" s="126" t="str">
        <f t="shared" si="1"/>
        <v/>
      </c>
    </row>
    <row r="42" spans="1:17" x14ac:dyDescent="0.25">
      <c r="A42" s="123" t="str">
        <f>(IF(Info!$B39&lt;&gt;"",Info!$B39,""))</f>
        <v/>
      </c>
      <c r="B42" s="124"/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5" t="str">
        <f t="shared" si="0"/>
        <v/>
      </c>
      <c r="Q42" s="126" t="str">
        <f t="shared" si="1"/>
        <v/>
      </c>
    </row>
    <row r="43" spans="1:17" x14ac:dyDescent="0.25">
      <c r="A43" s="123" t="str">
        <f>(IF(Info!$B40&lt;&gt;"",Info!$B40,""))</f>
        <v/>
      </c>
      <c r="B43" s="124"/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5" t="str">
        <f t="shared" si="0"/>
        <v/>
      </c>
      <c r="Q43" s="126" t="str">
        <f t="shared" si="1"/>
        <v/>
      </c>
    </row>
    <row r="44" spans="1:17" x14ac:dyDescent="0.25">
      <c r="A44" s="123" t="str">
        <f>(IF(Info!$B41&lt;&gt;"",Info!$B41,""))</f>
        <v/>
      </c>
      <c r="B44" s="124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5" t="str">
        <f t="shared" si="0"/>
        <v/>
      </c>
      <c r="Q44" s="126" t="str">
        <f t="shared" si="1"/>
        <v/>
      </c>
    </row>
    <row r="45" spans="1:17" x14ac:dyDescent="0.25">
      <c r="A45" s="123" t="str">
        <f>(IF(Info!$B42&lt;&gt;"",Info!$B42,""))</f>
        <v/>
      </c>
      <c r="B45" s="124"/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5" t="str">
        <f t="shared" si="0"/>
        <v/>
      </c>
      <c r="Q45" s="126" t="str">
        <f t="shared" si="1"/>
        <v/>
      </c>
    </row>
    <row r="46" spans="1:17" x14ac:dyDescent="0.25">
      <c r="A46" s="123" t="str">
        <f>(IF(Info!$B43&lt;&gt;"",Info!$B43,""))</f>
        <v/>
      </c>
      <c r="B46" s="124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5" t="str">
        <f t="shared" si="0"/>
        <v/>
      </c>
      <c r="Q46" s="126" t="str">
        <f t="shared" si="1"/>
        <v/>
      </c>
    </row>
    <row r="47" spans="1:17" x14ac:dyDescent="0.25">
      <c r="A47" s="123" t="str">
        <f>(IF(Info!$B44&lt;&gt;"",Info!$B44,""))</f>
        <v/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5" t="str">
        <f t="shared" si="0"/>
        <v/>
      </c>
      <c r="Q47" s="126" t="str">
        <f t="shared" si="1"/>
        <v/>
      </c>
    </row>
    <row r="48" spans="1:17" x14ac:dyDescent="0.25">
      <c r="A48" s="123" t="str">
        <f>(IF(Info!$B45&lt;&gt;"",Info!$B45,""))</f>
        <v/>
      </c>
      <c r="B48" s="124"/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5" t="str">
        <f t="shared" si="0"/>
        <v/>
      </c>
      <c r="Q48" s="126" t="str">
        <f t="shared" si="1"/>
        <v/>
      </c>
    </row>
    <row r="49" spans="1:17" x14ac:dyDescent="0.25">
      <c r="A49" s="123" t="str">
        <f>(IF(Info!$B46&lt;&gt;"",Info!$B46,""))</f>
        <v/>
      </c>
      <c r="B49" s="124"/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5" t="str">
        <f t="shared" si="0"/>
        <v/>
      </c>
      <c r="Q49" s="126" t="str">
        <f t="shared" si="1"/>
        <v/>
      </c>
    </row>
    <row r="50" spans="1:17" x14ac:dyDescent="0.25">
      <c r="A50" s="123" t="str">
        <f>(IF(Info!$B47&lt;&gt;"",Info!$B47,""))</f>
        <v/>
      </c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5" t="str">
        <f t="shared" si="0"/>
        <v/>
      </c>
      <c r="Q50" s="126" t="str">
        <f t="shared" si="1"/>
        <v/>
      </c>
    </row>
    <row r="51" spans="1:17" x14ac:dyDescent="0.25">
      <c r="A51" s="123" t="str">
        <f>(IF(Info!$B48&lt;&gt;"",Info!$B48,""))</f>
        <v/>
      </c>
      <c r="B51" s="124"/>
      <c r="C51" s="124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5" t="str">
        <f t="shared" si="0"/>
        <v/>
      </c>
      <c r="Q51" s="126" t="str">
        <f t="shared" si="1"/>
        <v/>
      </c>
    </row>
  </sheetData>
  <sheetProtection selectLockedCells="1"/>
  <mergeCells count="6">
    <mergeCell ref="P2:Q2"/>
    <mergeCell ref="B1:C1"/>
    <mergeCell ref="P1:Q1"/>
    <mergeCell ref="B2:O2"/>
    <mergeCell ref="K1:O1"/>
    <mergeCell ref="E1:J1"/>
  </mergeCells>
  <phoneticPr fontId="1" type="noConversion"/>
  <conditionalFormatting sqref="P1">
    <cfRule type="cellIs" dxfId="73" priority="176" stopIfTrue="1" operator="greaterThanOrEqual">
      <formula>0.85</formula>
    </cfRule>
    <cfRule type="cellIs" dxfId="72" priority="178" stopIfTrue="1" operator="lessThan">
      <formula>0.85</formula>
    </cfRule>
  </conditionalFormatting>
  <conditionalFormatting sqref="N6:N51">
    <cfRule type="expression" dxfId="71" priority="17">
      <formula>COUNTA(N6)&gt;0</formula>
    </cfRule>
    <cfRule type="colorScale" priority="18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6:O51">
    <cfRule type="expression" dxfId="70" priority="15">
      <formula>COUNTA(O6)&gt;0</formula>
    </cfRule>
    <cfRule type="colorScale" priority="16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B6:B51">
    <cfRule type="expression" dxfId="69" priority="13">
      <formula>COUNTA(B6)&gt;0</formula>
    </cfRule>
    <cfRule type="colorScale" priority="14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:C51">
    <cfRule type="expression" dxfId="68" priority="11">
      <formula>COUNTA(C6)&gt;0</formula>
    </cfRule>
    <cfRule type="colorScale" priority="12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E6:E51">
    <cfRule type="expression" dxfId="67" priority="9">
      <formula>COUNTA(E6)&gt;0</formula>
    </cfRule>
    <cfRule type="colorScale" priority="10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:D51">
    <cfRule type="expression" dxfId="66" priority="7">
      <formula>COUNTA(D6)&gt;0</formula>
    </cfRule>
    <cfRule type="colorScale" priority="8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F6:F51">
    <cfRule type="expression" dxfId="65" priority="5">
      <formula>COUNTA(F6)&gt;0</formula>
    </cfRule>
    <cfRule type="colorScale" priority="6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G6:G51">
    <cfRule type="expression" dxfId="64" priority="31">
      <formula>COUNTA(G6)&gt;0</formula>
    </cfRule>
    <cfRule type="colorScale" priority="32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:H51">
    <cfRule type="expression" dxfId="63" priority="29">
      <formula>COUNTA(H6)&gt;0</formula>
    </cfRule>
    <cfRule type="colorScale" priority="30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6:I51">
    <cfRule type="expression" dxfId="62" priority="27">
      <formula>COUNTA(I6)&gt;0</formula>
    </cfRule>
    <cfRule type="colorScale" priority="28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6:J51">
    <cfRule type="expression" dxfId="61" priority="25">
      <formula>COUNTA(J6)&gt;0</formula>
    </cfRule>
    <cfRule type="colorScale" priority="26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6:K51">
    <cfRule type="expression" dxfId="60" priority="23">
      <formula>COUNTA(K6)&gt;0</formula>
    </cfRule>
    <cfRule type="colorScale" priority="24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6:L51">
    <cfRule type="expression" dxfId="59" priority="21">
      <formula>COUNTA(L6)&gt;0</formula>
    </cfRule>
    <cfRule type="colorScale" priority="22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6:M51">
    <cfRule type="expression" dxfId="58" priority="19">
      <formula>COUNTA(M6)&gt;0</formula>
    </cfRule>
    <cfRule type="colorScale" priority="20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Q6:Q51">
    <cfRule type="colorScale" priority="3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57" priority="4">
      <formula>ISNUMBER(Q6)</formula>
    </cfRule>
  </conditionalFormatting>
  <conditionalFormatting sqref="P6:P51">
    <cfRule type="colorScale" priority="1">
      <colorScale>
        <cfvo type="num" val="0"/>
        <cfvo type="num" val="$P$4/2"/>
        <cfvo type="num" val="$P$4"/>
        <color rgb="FFEA4C4C"/>
        <color rgb="FFFFEB84"/>
        <color theme="6" tint="-0.249977111117893"/>
      </colorScale>
    </cfRule>
    <cfRule type="expression" dxfId="56" priority="2">
      <formula>ISNUMBER(P6)</formula>
    </cfRule>
  </conditionalFormatting>
  <pageMargins left="0.75" right="0.75" top="1.5" bottom="1" header="0.5" footer="0.5"/>
  <pageSetup orientation="landscape" r:id="rId1"/>
  <headerFooter alignWithMargins="0">
    <oddHeader>&amp;C&amp;"Times New Roman,Bold"&amp;12Mathematics
Skills Analysis Sheet for Addition, Subtraction, and the Number System
Grade 1, &amp;A</oddHeader>
    <oddFooter>&amp;L&amp;"Times New Roman"&amp;8Grade 2, &amp;A
Geometry and Fractions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9" stopIfTrue="1" id="{54E18ABD-A51C-4BEB-A551-D652C0F018D7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6"/>
  <sheetViews>
    <sheetView showGridLines="0" zoomScaleNormal="100" workbookViewId="0">
      <selection activeCell="B6" sqref="B6"/>
    </sheetView>
  </sheetViews>
  <sheetFormatPr defaultColWidth="9.140625" defaultRowHeight="15.75" x14ac:dyDescent="0.25"/>
  <cols>
    <col min="1" max="1" width="20.140625" style="127" customWidth="1"/>
    <col min="2" max="2" width="4.42578125" style="127" customWidth="1"/>
    <col min="3" max="4" width="5.140625" style="127" customWidth="1"/>
    <col min="5" max="5" width="2.28515625" style="127" bestFit="1" customWidth="1"/>
    <col min="6" max="6" width="2.42578125" style="127" customWidth="1"/>
    <col min="7" max="7" width="2.28515625" style="127" bestFit="1" customWidth="1"/>
    <col min="8" max="8" width="8.42578125" style="127" customWidth="1"/>
    <col min="9" max="9" width="5" style="127" customWidth="1"/>
    <col min="10" max="10" width="5.42578125" style="127" customWidth="1"/>
    <col min="11" max="11" width="5.85546875" style="127" customWidth="1"/>
    <col min="12" max="17" width="3.42578125" style="127" bestFit="1" customWidth="1"/>
    <col min="18" max="21" width="3.28515625" style="127" bestFit="1" customWidth="1"/>
    <col min="22" max="22" width="7.42578125" style="127" bestFit="1" customWidth="1"/>
    <col min="23" max="23" width="10.85546875" style="127" customWidth="1"/>
    <col min="24" max="16384" width="9.140625" style="127"/>
  </cols>
  <sheetData>
    <row r="1" spans="1:23" s="183" customFormat="1" ht="45" customHeight="1" x14ac:dyDescent="0.2">
      <c r="A1" s="113" t="str">
        <f>IF(Info!B1&lt;&gt;0,Info!B1,"Please fill out info sheet")</f>
        <v>Ms. Johnston</v>
      </c>
      <c r="B1" s="114" t="s">
        <v>41</v>
      </c>
      <c r="C1" s="114"/>
      <c r="D1" s="152" t="s">
        <v>12</v>
      </c>
      <c r="E1" s="217" t="s">
        <v>59</v>
      </c>
      <c r="F1" s="217"/>
      <c r="G1" s="217"/>
      <c r="H1" s="217"/>
      <c r="I1" s="217"/>
      <c r="J1" s="217"/>
      <c r="K1" s="217"/>
      <c r="L1" s="217"/>
      <c r="M1" s="218" t="s">
        <v>37</v>
      </c>
      <c r="N1" s="218"/>
      <c r="O1" s="218"/>
      <c r="P1" s="218"/>
      <c r="Q1" s="218"/>
      <c r="R1" s="218"/>
      <c r="S1" s="218"/>
      <c r="T1" s="218"/>
      <c r="U1" s="218"/>
      <c r="V1" s="218"/>
      <c r="W1" s="168">
        <f>IF(COUNTA(class_list)&lt;&gt;0,(COUNTIF(UNIT_8_scores,"&gt;=.845"))/COUNTA(class_list), "N/A")</f>
        <v>0</v>
      </c>
    </row>
    <row r="2" spans="1:23" s="157" customFormat="1" ht="138" customHeight="1" x14ac:dyDescent="0.25">
      <c r="A2" s="138" t="s">
        <v>1</v>
      </c>
      <c r="B2" s="213" t="s">
        <v>52</v>
      </c>
      <c r="C2" s="213"/>
      <c r="D2" s="213" t="s">
        <v>53</v>
      </c>
      <c r="E2" s="213"/>
      <c r="F2" s="213"/>
      <c r="G2" s="213"/>
      <c r="H2" s="214" t="s">
        <v>54</v>
      </c>
      <c r="I2" s="213" t="s">
        <v>55</v>
      </c>
      <c r="J2" s="213"/>
      <c r="K2" s="213"/>
      <c r="L2" s="213" t="s">
        <v>56</v>
      </c>
      <c r="M2" s="213"/>
      <c r="N2" s="213"/>
      <c r="O2" s="213"/>
      <c r="P2" s="213"/>
      <c r="Q2" s="213"/>
      <c r="R2" s="213" t="s">
        <v>57</v>
      </c>
      <c r="S2" s="213"/>
      <c r="T2" s="213"/>
      <c r="U2" s="213"/>
      <c r="V2" s="195" t="s">
        <v>31</v>
      </c>
      <c r="W2" s="196"/>
    </row>
    <row r="3" spans="1:23" ht="14.1" customHeight="1" x14ac:dyDescent="0.25">
      <c r="A3" s="141" t="s">
        <v>2</v>
      </c>
      <c r="B3" s="142">
        <v>1</v>
      </c>
      <c r="C3" s="142">
        <v>2</v>
      </c>
      <c r="D3" s="142">
        <v>3</v>
      </c>
      <c r="E3" s="142">
        <v>4</v>
      </c>
      <c r="F3" s="142">
        <v>5</v>
      </c>
      <c r="G3" s="142">
        <v>6</v>
      </c>
      <c r="H3" s="142">
        <v>7</v>
      </c>
      <c r="I3" s="142">
        <v>8</v>
      </c>
      <c r="J3" s="142">
        <v>9</v>
      </c>
      <c r="K3" s="142">
        <v>10</v>
      </c>
      <c r="L3" s="142">
        <v>11</v>
      </c>
      <c r="M3" s="142">
        <v>12</v>
      </c>
      <c r="N3" s="142">
        <v>13</v>
      </c>
      <c r="O3" s="142">
        <v>14</v>
      </c>
      <c r="P3" s="142">
        <v>15</v>
      </c>
      <c r="Q3" s="142">
        <v>16</v>
      </c>
      <c r="R3" s="142">
        <v>17</v>
      </c>
      <c r="S3" s="142">
        <v>18</v>
      </c>
      <c r="T3" s="142">
        <v>19</v>
      </c>
      <c r="U3" s="142">
        <v>20</v>
      </c>
      <c r="V3" s="121" t="s">
        <v>4</v>
      </c>
      <c r="W3" s="121" t="s">
        <v>17</v>
      </c>
    </row>
    <row r="4" spans="1:23" ht="14.1" customHeight="1" x14ac:dyDescent="0.25">
      <c r="A4" s="141" t="s">
        <v>3</v>
      </c>
      <c r="B4" s="188">
        <v>5</v>
      </c>
      <c r="C4" s="188">
        <v>1</v>
      </c>
      <c r="D4" s="188">
        <v>2</v>
      </c>
      <c r="E4" s="188">
        <v>2</v>
      </c>
      <c r="F4" s="188">
        <v>2</v>
      </c>
      <c r="G4" s="188">
        <v>2</v>
      </c>
      <c r="H4" s="188">
        <v>9</v>
      </c>
      <c r="I4" s="188">
        <v>1</v>
      </c>
      <c r="J4" s="188">
        <v>1</v>
      </c>
      <c r="K4" s="188">
        <v>1</v>
      </c>
      <c r="L4" s="188">
        <v>1</v>
      </c>
      <c r="M4" s="188">
        <v>1</v>
      </c>
      <c r="N4" s="188">
        <v>1</v>
      </c>
      <c r="O4" s="188">
        <v>1</v>
      </c>
      <c r="P4" s="188">
        <v>1</v>
      </c>
      <c r="Q4" s="188">
        <v>1</v>
      </c>
      <c r="R4" s="188">
        <v>1</v>
      </c>
      <c r="S4" s="188">
        <v>1</v>
      </c>
      <c r="T4" s="188">
        <v>1</v>
      </c>
      <c r="U4" s="188">
        <v>1</v>
      </c>
      <c r="V4" s="121">
        <f>SUM(B4:U4)</f>
        <v>36</v>
      </c>
      <c r="W4" s="121"/>
    </row>
    <row r="5" spans="1:23" x14ac:dyDescent="0.25">
      <c r="A5" s="122" t="s">
        <v>0</v>
      </c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</row>
    <row r="6" spans="1:23" x14ac:dyDescent="0.25">
      <c r="A6" s="123" t="str">
        <f>(IF(Info!$B3&lt;&gt;"",Info!$B3,""))</f>
        <v>Cal Ripkin</v>
      </c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210"/>
      <c r="S6" s="210"/>
      <c r="T6" s="210"/>
      <c r="U6" s="210"/>
      <c r="V6" s="125" t="str">
        <f>IF(COUNTA(B6:U6)=0,"",SUM(B6:U6))</f>
        <v/>
      </c>
      <c r="W6" s="126" t="str">
        <f>IF(COUNTA(B6:U6)=0,"",SUM(B6:U6)/$V$4)</f>
        <v/>
      </c>
    </row>
    <row r="7" spans="1:23" x14ac:dyDescent="0.25">
      <c r="A7" s="123" t="str">
        <f>(IF(Info!$B4&lt;&gt;"",Info!$B4,""))</f>
        <v>Brooks Robinson</v>
      </c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210"/>
      <c r="S7" s="210"/>
      <c r="T7" s="210"/>
      <c r="U7" s="210"/>
      <c r="V7" s="125" t="str">
        <f t="shared" ref="V7:V51" si="0">IF(COUNTA(B7:U7)=0,"",SUM(B7:U7))</f>
        <v/>
      </c>
      <c r="W7" s="126" t="str">
        <f t="shared" ref="W7:W51" si="1">IF(COUNTA(B7:U7)=0,"",SUM(B7:U7)/$V$4)</f>
        <v/>
      </c>
    </row>
    <row r="8" spans="1:23" x14ac:dyDescent="0.25">
      <c r="A8" s="123" t="str">
        <f>(IF(Info!$B5&lt;&gt;"",Info!$B5,""))</f>
        <v>Frank Robinson</v>
      </c>
      <c r="B8" s="124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210"/>
      <c r="S8" s="210"/>
      <c r="T8" s="210"/>
      <c r="U8" s="210"/>
      <c r="V8" s="125" t="str">
        <f t="shared" si="0"/>
        <v/>
      </c>
      <c r="W8" s="126" t="str">
        <f t="shared" si="1"/>
        <v/>
      </c>
    </row>
    <row r="9" spans="1:23" x14ac:dyDescent="0.25">
      <c r="A9" s="123" t="str">
        <f>(IF(Info!$B6&lt;&gt;"",Info!$B6,""))</f>
        <v>Jim Palmer</v>
      </c>
      <c r="B9" s="124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210"/>
      <c r="S9" s="210"/>
      <c r="T9" s="210"/>
      <c r="U9" s="210"/>
      <c r="V9" s="125" t="str">
        <f t="shared" si="0"/>
        <v/>
      </c>
      <c r="W9" s="126" t="str">
        <f t="shared" si="1"/>
        <v/>
      </c>
    </row>
    <row r="10" spans="1:23" x14ac:dyDescent="0.25">
      <c r="A10" s="123" t="str">
        <f>(IF(Info!$B7&lt;&gt;"",Info!$B7,""))</f>
        <v>Eddie Murray</v>
      </c>
      <c r="B10" s="124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210"/>
      <c r="S10" s="210"/>
      <c r="T10" s="210"/>
      <c r="U10" s="210"/>
      <c r="V10" s="125" t="str">
        <f t="shared" si="0"/>
        <v/>
      </c>
      <c r="W10" s="126" t="str">
        <f t="shared" si="1"/>
        <v/>
      </c>
    </row>
    <row r="11" spans="1:23" x14ac:dyDescent="0.25">
      <c r="A11" s="123" t="str">
        <f>(IF(Info!$B8&lt;&gt;"",Info!$B8,""))</f>
        <v>Manny Machado</v>
      </c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210"/>
      <c r="S11" s="210"/>
      <c r="T11" s="210"/>
      <c r="U11" s="210"/>
      <c r="V11" s="125" t="str">
        <f t="shared" si="0"/>
        <v/>
      </c>
      <c r="W11" s="126" t="str">
        <f t="shared" si="1"/>
        <v/>
      </c>
    </row>
    <row r="12" spans="1:23" x14ac:dyDescent="0.25">
      <c r="A12" s="123" t="str">
        <f>(IF(Info!$B9&lt;&gt;"",Info!$B9,""))</f>
        <v>Boog Powell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210"/>
      <c r="S12" s="210"/>
      <c r="T12" s="210"/>
      <c r="U12" s="210"/>
      <c r="V12" s="125" t="str">
        <f t="shared" si="0"/>
        <v/>
      </c>
      <c r="W12" s="126" t="str">
        <f t="shared" si="1"/>
        <v/>
      </c>
    </row>
    <row r="13" spans="1:23" x14ac:dyDescent="0.25">
      <c r="A13" s="123" t="str">
        <f>(IF(Info!$B10&lt;&gt;"",Info!$B10,""))</f>
        <v>Brady Anderson</v>
      </c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210"/>
      <c r="S13" s="210"/>
      <c r="T13" s="210"/>
      <c r="U13" s="210"/>
      <c r="V13" s="125" t="str">
        <f t="shared" si="0"/>
        <v/>
      </c>
      <c r="W13" s="126" t="str">
        <f t="shared" si="1"/>
        <v/>
      </c>
    </row>
    <row r="14" spans="1:23" x14ac:dyDescent="0.25">
      <c r="A14" s="123" t="str">
        <f>(IF(Info!$B11&lt;&gt;"",Info!$B11,""))</f>
        <v>Rafael Palmero</v>
      </c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210"/>
      <c r="S14" s="210"/>
      <c r="T14" s="210"/>
      <c r="U14" s="210"/>
      <c r="V14" s="125" t="str">
        <f t="shared" si="0"/>
        <v/>
      </c>
      <c r="W14" s="126" t="str">
        <f t="shared" si="1"/>
        <v/>
      </c>
    </row>
    <row r="15" spans="1:23" x14ac:dyDescent="0.25">
      <c r="A15" s="123" t="str">
        <f>(IF(Info!$B12&lt;&gt;"",Info!$B12,""))</f>
        <v>Melvin Mora</v>
      </c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210"/>
      <c r="S15" s="210"/>
      <c r="T15" s="210"/>
      <c r="U15" s="210"/>
      <c r="V15" s="125" t="str">
        <f t="shared" si="0"/>
        <v/>
      </c>
      <c r="W15" s="126" t="str">
        <f t="shared" si="1"/>
        <v/>
      </c>
    </row>
    <row r="16" spans="1:23" x14ac:dyDescent="0.25">
      <c r="A16" s="123" t="str">
        <f>(IF(Info!$B13&lt;&gt;"",Info!$B13,""))</f>
        <v>Dave McNally</v>
      </c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210"/>
      <c r="S16" s="210"/>
      <c r="T16" s="210"/>
      <c r="U16" s="210"/>
      <c r="V16" s="125" t="str">
        <f t="shared" si="0"/>
        <v/>
      </c>
      <c r="W16" s="126" t="str">
        <f t="shared" si="1"/>
        <v/>
      </c>
    </row>
    <row r="17" spans="1:23" x14ac:dyDescent="0.25">
      <c r="A17" s="123" t="str">
        <f>(IF(Info!$B14&lt;&gt;"",Info!$B14,""))</f>
        <v>Ken Singleton</v>
      </c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210"/>
      <c r="S17" s="210"/>
      <c r="T17" s="210"/>
      <c r="U17" s="210"/>
      <c r="V17" s="125" t="str">
        <f t="shared" si="0"/>
        <v/>
      </c>
      <c r="W17" s="126" t="str">
        <f t="shared" si="1"/>
        <v/>
      </c>
    </row>
    <row r="18" spans="1:23" x14ac:dyDescent="0.25">
      <c r="A18" s="123" t="str">
        <f>(IF(Info!$B15&lt;&gt;"",Info!$B15,""))</f>
        <v>Jonathan Schoop</v>
      </c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210"/>
      <c r="S18" s="210"/>
      <c r="T18" s="210"/>
      <c r="U18" s="210"/>
      <c r="V18" s="125" t="str">
        <f t="shared" si="0"/>
        <v/>
      </c>
      <c r="W18" s="126" t="str">
        <f t="shared" si="1"/>
        <v/>
      </c>
    </row>
    <row r="19" spans="1:23" x14ac:dyDescent="0.25">
      <c r="A19" s="123" t="str">
        <f>(IF(Info!$B16&lt;&gt;"",Info!$B16,""))</f>
        <v>Paul Blair</v>
      </c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210"/>
      <c r="S19" s="210"/>
      <c r="T19" s="210"/>
      <c r="U19" s="210"/>
      <c r="V19" s="125" t="str">
        <f t="shared" si="0"/>
        <v/>
      </c>
      <c r="W19" s="126" t="str">
        <f t="shared" si="1"/>
        <v/>
      </c>
    </row>
    <row r="20" spans="1:23" x14ac:dyDescent="0.25">
      <c r="A20" s="123" t="str">
        <f>(IF(Info!$B17&lt;&gt;"",Info!$B17,""))</f>
        <v>Mark Belanger</v>
      </c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210"/>
      <c r="S20" s="210"/>
      <c r="T20" s="210"/>
      <c r="U20" s="210"/>
      <c r="V20" s="125" t="str">
        <f t="shared" si="0"/>
        <v/>
      </c>
      <c r="W20" s="126" t="str">
        <f t="shared" si="1"/>
        <v/>
      </c>
    </row>
    <row r="21" spans="1:23" x14ac:dyDescent="0.25">
      <c r="A21" s="123" t="str">
        <f>(IF(Info!$B18&lt;&gt;"",Info!$B18,""))</f>
        <v>Davey Johnson</v>
      </c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210"/>
      <c r="S21" s="210"/>
      <c r="T21" s="210"/>
      <c r="U21" s="210"/>
      <c r="V21" s="125" t="str">
        <f t="shared" si="0"/>
        <v/>
      </c>
      <c r="W21" s="126" t="str">
        <f t="shared" si="1"/>
        <v/>
      </c>
    </row>
    <row r="22" spans="1:23" x14ac:dyDescent="0.25">
      <c r="A22" s="123" t="str">
        <f>(IF(Info!$B19&lt;&gt;"",Info!$B19,""))</f>
        <v>Miguel Tejada</v>
      </c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210"/>
      <c r="S22" s="210"/>
      <c r="T22" s="210"/>
      <c r="U22" s="210"/>
      <c r="V22" s="125" t="str">
        <f t="shared" si="0"/>
        <v/>
      </c>
      <c r="W22" s="126" t="str">
        <f t="shared" si="1"/>
        <v/>
      </c>
    </row>
    <row r="23" spans="1:23" x14ac:dyDescent="0.25">
      <c r="A23" s="123" t="str">
        <f>(IF(Info!$B20&lt;&gt;"",Info!$B20,""))</f>
        <v>Adam Jones</v>
      </c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210"/>
      <c r="S23" s="210"/>
      <c r="T23" s="210"/>
      <c r="U23" s="210"/>
      <c r="V23" s="125" t="str">
        <f t="shared" si="0"/>
        <v/>
      </c>
      <c r="W23" s="126" t="str">
        <f t="shared" si="1"/>
        <v/>
      </c>
    </row>
    <row r="24" spans="1:23" x14ac:dyDescent="0.25">
      <c r="A24" s="123" t="str">
        <f>(IF(Info!$B21&lt;&gt;"",Info!$B21,""))</f>
        <v/>
      </c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210"/>
      <c r="S24" s="210"/>
      <c r="T24" s="210"/>
      <c r="U24" s="210"/>
      <c r="V24" s="125" t="str">
        <f t="shared" si="0"/>
        <v/>
      </c>
      <c r="W24" s="126" t="str">
        <f t="shared" si="1"/>
        <v/>
      </c>
    </row>
    <row r="25" spans="1:23" x14ac:dyDescent="0.25">
      <c r="A25" s="123" t="str">
        <f>(IF(Info!$B22&lt;&gt;"",Info!$B22,""))</f>
        <v/>
      </c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210"/>
      <c r="S25" s="210"/>
      <c r="T25" s="210"/>
      <c r="U25" s="210"/>
      <c r="V25" s="125" t="str">
        <f t="shared" si="0"/>
        <v/>
      </c>
      <c r="W25" s="126" t="str">
        <f t="shared" si="1"/>
        <v/>
      </c>
    </row>
    <row r="26" spans="1:23" x14ac:dyDescent="0.25">
      <c r="A26" s="123" t="str">
        <f>(IF(Info!$B23&lt;&gt;"",Info!$B23,""))</f>
        <v/>
      </c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210"/>
      <c r="S26" s="210"/>
      <c r="T26" s="210"/>
      <c r="U26" s="210"/>
      <c r="V26" s="125" t="str">
        <f t="shared" si="0"/>
        <v/>
      </c>
      <c r="W26" s="126" t="str">
        <f t="shared" si="1"/>
        <v/>
      </c>
    </row>
    <row r="27" spans="1:23" x14ac:dyDescent="0.25">
      <c r="A27" s="123" t="str">
        <f>(IF(Info!$B24&lt;&gt;"",Info!$B24,""))</f>
        <v/>
      </c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210"/>
      <c r="S27" s="210"/>
      <c r="T27" s="210"/>
      <c r="U27" s="210"/>
      <c r="V27" s="125" t="str">
        <f t="shared" si="0"/>
        <v/>
      </c>
      <c r="W27" s="126" t="str">
        <f t="shared" si="1"/>
        <v/>
      </c>
    </row>
    <row r="28" spans="1:23" x14ac:dyDescent="0.25">
      <c r="A28" s="123" t="str">
        <f>(IF(Info!$B25&lt;&gt;"",Info!$B25,""))</f>
        <v/>
      </c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210"/>
      <c r="S28" s="210"/>
      <c r="T28" s="210"/>
      <c r="U28" s="210"/>
      <c r="V28" s="125" t="str">
        <f t="shared" si="0"/>
        <v/>
      </c>
      <c r="W28" s="126" t="str">
        <f t="shared" si="1"/>
        <v/>
      </c>
    </row>
    <row r="29" spans="1:23" x14ac:dyDescent="0.25">
      <c r="A29" s="123" t="str">
        <f>(IF(Info!$B26&lt;&gt;"",Info!$B26,""))</f>
        <v/>
      </c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210"/>
      <c r="S29" s="210"/>
      <c r="T29" s="210"/>
      <c r="U29" s="210"/>
      <c r="V29" s="125" t="str">
        <f t="shared" si="0"/>
        <v/>
      </c>
      <c r="W29" s="126" t="str">
        <f t="shared" si="1"/>
        <v/>
      </c>
    </row>
    <row r="30" spans="1:23" x14ac:dyDescent="0.25">
      <c r="A30" s="123" t="str">
        <f>(IF(Info!$B27&lt;&gt;"",Info!$B27,""))</f>
        <v/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210"/>
      <c r="S30" s="210"/>
      <c r="T30" s="210"/>
      <c r="U30" s="210"/>
      <c r="V30" s="125" t="str">
        <f t="shared" si="0"/>
        <v/>
      </c>
      <c r="W30" s="126" t="str">
        <f t="shared" si="1"/>
        <v/>
      </c>
    </row>
    <row r="31" spans="1:23" x14ac:dyDescent="0.25">
      <c r="A31" s="123" t="str">
        <f>(IF(Info!$B28&lt;&gt;"",Info!$B28,""))</f>
        <v/>
      </c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210"/>
      <c r="S31" s="210"/>
      <c r="T31" s="210"/>
      <c r="U31" s="210"/>
      <c r="V31" s="125" t="str">
        <f t="shared" si="0"/>
        <v/>
      </c>
      <c r="W31" s="126" t="str">
        <f t="shared" si="1"/>
        <v/>
      </c>
    </row>
    <row r="32" spans="1:23" x14ac:dyDescent="0.25">
      <c r="A32" s="123" t="str">
        <f>(IF(Info!$B29&lt;&gt;"",Info!$B29,""))</f>
        <v/>
      </c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210"/>
      <c r="S32" s="210"/>
      <c r="T32" s="210"/>
      <c r="U32" s="210"/>
      <c r="V32" s="125" t="str">
        <f t="shared" si="0"/>
        <v/>
      </c>
      <c r="W32" s="126" t="str">
        <f t="shared" si="1"/>
        <v/>
      </c>
    </row>
    <row r="33" spans="1:23" x14ac:dyDescent="0.25">
      <c r="A33" s="123" t="str">
        <f>(IF(Info!$B30&lt;&gt;"",Info!$B30,""))</f>
        <v/>
      </c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210"/>
      <c r="S33" s="210"/>
      <c r="T33" s="210"/>
      <c r="U33" s="210"/>
      <c r="V33" s="125" t="str">
        <f t="shared" si="0"/>
        <v/>
      </c>
      <c r="W33" s="126" t="str">
        <f t="shared" si="1"/>
        <v/>
      </c>
    </row>
    <row r="34" spans="1:23" x14ac:dyDescent="0.25">
      <c r="A34" s="123" t="str">
        <f>(IF(Info!$B31&lt;&gt;"",Info!$B31,""))</f>
        <v/>
      </c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210"/>
      <c r="S34" s="210"/>
      <c r="T34" s="210"/>
      <c r="U34" s="210"/>
      <c r="V34" s="125" t="str">
        <f t="shared" si="0"/>
        <v/>
      </c>
      <c r="W34" s="126" t="str">
        <f t="shared" si="1"/>
        <v/>
      </c>
    </row>
    <row r="35" spans="1:23" x14ac:dyDescent="0.25">
      <c r="A35" s="123" t="str">
        <f>(IF(Info!$B32&lt;&gt;"",Info!$B32,""))</f>
        <v/>
      </c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210"/>
      <c r="S35" s="210"/>
      <c r="T35" s="210"/>
      <c r="U35" s="210"/>
      <c r="V35" s="125" t="str">
        <f t="shared" si="0"/>
        <v/>
      </c>
      <c r="W35" s="126" t="str">
        <f t="shared" si="1"/>
        <v/>
      </c>
    </row>
    <row r="36" spans="1:23" x14ac:dyDescent="0.25">
      <c r="A36" s="123" t="str">
        <f>(IF(Info!$B33&lt;&gt;"",Info!$B33,""))</f>
        <v/>
      </c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210"/>
      <c r="S36" s="210"/>
      <c r="T36" s="210"/>
      <c r="U36" s="210"/>
      <c r="V36" s="125" t="str">
        <f t="shared" si="0"/>
        <v/>
      </c>
      <c r="W36" s="126" t="str">
        <f t="shared" si="1"/>
        <v/>
      </c>
    </row>
    <row r="37" spans="1:23" x14ac:dyDescent="0.25">
      <c r="A37" s="123" t="str">
        <f>(IF(Info!$B34&lt;&gt;"",Info!$B34,""))</f>
        <v/>
      </c>
      <c r="B37" s="124"/>
      <c r="C37" s="124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210"/>
      <c r="S37" s="210"/>
      <c r="T37" s="210"/>
      <c r="U37" s="210"/>
      <c r="V37" s="125" t="str">
        <f t="shared" si="0"/>
        <v/>
      </c>
      <c r="W37" s="126" t="str">
        <f t="shared" si="1"/>
        <v/>
      </c>
    </row>
    <row r="38" spans="1:23" x14ac:dyDescent="0.25">
      <c r="A38" s="123" t="str">
        <f>(IF(Info!$B35&lt;&gt;"",Info!$B35,""))</f>
        <v/>
      </c>
      <c r="B38" s="124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210"/>
      <c r="S38" s="210"/>
      <c r="T38" s="210"/>
      <c r="U38" s="210"/>
      <c r="V38" s="125" t="str">
        <f t="shared" si="0"/>
        <v/>
      </c>
      <c r="W38" s="126" t="str">
        <f t="shared" si="1"/>
        <v/>
      </c>
    </row>
    <row r="39" spans="1:23" x14ac:dyDescent="0.25">
      <c r="A39" s="123" t="str">
        <f>(IF(Info!$B36&lt;&gt;"",Info!$B36,""))</f>
        <v/>
      </c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210"/>
      <c r="S39" s="210"/>
      <c r="T39" s="210"/>
      <c r="U39" s="210"/>
      <c r="V39" s="125" t="str">
        <f t="shared" si="0"/>
        <v/>
      </c>
      <c r="W39" s="126" t="str">
        <f t="shared" si="1"/>
        <v/>
      </c>
    </row>
    <row r="40" spans="1:23" x14ac:dyDescent="0.25">
      <c r="A40" s="123" t="str">
        <f>(IF(Info!$B37&lt;&gt;"",Info!$B37,""))</f>
        <v/>
      </c>
      <c r="B40" s="124"/>
      <c r="C40" s="124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210"/>
      <c r="S40" s="210"/>
      <c r="T40" s="210"/>
      <c r="U40" s="210"/>
      <c r="V40" s="125" t="str">
        <f t="shared" si="0"/>
        <v/>
      </c>
      <c r="W40" s="126" t="str">
        <f t="shared" si="1"/>
        <v/>
      </c>
    </row>
    <row r="41" spans="1:23" x14ac:dyDescent="0.25">
      <c r="A41" s="123" t="str">
        <f>(IF(Info!$B38&lt;&gt;"",Info!$B38,""))</f>
        <v/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210"/>
      <c r="S41" s="210"/>
      <c r="T41" s="210"/>
      <c r="U41" s="210"/>
      <c r="V41" s="125" t="str">
        <f t="shared" si="0"/>
        <v/>
      </c>
      <c r="W41" s="126" t="str">
        <f t="shared" si="1"/>
        <v/>
      </c>
    </row>
    <row r="42" spans="1:23" x14ac:dyDescent="0.25">
      <c r="A42" s="123" t="str">
        <f>(IF(Info!$B39&lt;&gt;"",Info!$B39,""))</f>
        <v/>
      </c>
      <c r="B42" s="124"/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210"/>
      <c r="S42" s="210"/>
      <c r="T42" s="210"/>
      <c r="U42" s="210"/>
      <c r="V42" s="125" t="str">
        <f t="shared" si="0"/>
        <v/>
      </c>
      <c r="W42" s="126" t="str">
        <f t="shared" si="1"/>
        <v/>
      </c>
    </row>
    <row r="43" spans="1:23" x14ac:dyDescent="0.25">
      <c r="A43" s="123" t="str">
        <f>(IF(Info!$B40&lt;&gt;"",Info!$B40,""))</f>
        <v/>
      </c>
      <c r="B43" s="124"/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210"/>
      <c r="S43" s="210"/>
      <c r="T43" s="210"/>
      <c r="U43" s="210"/>
      <c r="V43" s="125" t="str">
        <f t="shared" si="0"/>
        <v/>
      </c>
      <c r="W43" s="126" t="str">
        <f t="shared" si="1"/>
        <v/>
      </c>
    </row>
    <row r="44" spans="1:23" x14ac:dyDescent="0.25">
      <c r="A44" s="123" t="str">
        <f>(IF(Info!$B41&lt;&gt;"",Info!$B41,""))</f>
        <v/>
      </c>
      <c r="B44" s="124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210"/>
      <c r="S44" s="210"/>
      <c r="T44" s="210"/>
      <c r="U44" s="210"/>
      <c r="V44" s="125" t="str">
        <f t="shared" si="0"/>
        <v/>
      </c>
      <c r="W44" s="126" t="str">
        <f t="shared" si="1"/>
        <v/>
      </c>
    </row>
    <row r="45" spans="1:23" x14ac:dyDescent="0.25">
      <c r="A45" s="123" t="str">
        <f>(IF(Info!$B42&lt;&gt;"",Info!$B42,""))</f>
        <v/>
      </c>
      <c r="B45" s="124"/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210"/>
      <c r="S45" s="210"/>
      <c r="T45" s="210"/>
      <c r="U45" s="210"/>
      <c r="V45" s="125" t="str">
        <f t="shared" si="0"/>
        <v/>
      </c>
      <c r="W45" s="126" t="str">
        <f t="shared" si="1"/>
        <v/>
      </c>
    </row>
    <row r="46" spans="1:23" x14ac:dyDescent="0.25">
      <c r="A46" s="123" t="str">
        <f>(IF(Info!$B43&lt;&gt;"",Info!$B43,""))</f>
        <v/>
      </c>
      <c r="B46" s="124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210"/>
      <c r="S46" s="210"/>
      <c r="T46" s="210"/>
      <c r="U46" s="210"/>
      <c r="V46" s="125" t="str">
        <f t="shared" si="0"/>
        <v/>
      </c>
      <c r="W46" s="126" t="str">
        <f t="shared" si="1"/>
        <v/>
      </c>
    </row>
    <row r="47" spans="1:23" x14ac:dyDescent="0.25">
      <c r="A47" s="123" t="str">
        <f>(IF(Info!$B44&lt;&gt;"",Info!$B44,""))</f>
        <v/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210"/>
      <c r="S47" s="210"/>
      <c r="T47" s="210"/>
      <c r="U47" s="210"/>
      <c r="V47" s="125" t="str">
        <f t="shared" si="0"/>
        <v/>
      </c>
      <c r="W47" s="126" t="str">
        <f t="shared" si="1"/>
        <v/>
      </c>
    </row>
    <row r="48" spans="1:23" x14ac:dyDescent="0.25">
      <c r="A48" s="123" t="str">
        <f>(IF(Info!$B45&lt;&gt;"",Info!$B45,""))</f>
        <v/>
      </c>
      <c r="B48" s="124"/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210"/>
      <c r="S48" s="210"/>
      <c r="T48" s="210"/>
      <c r="U48" s="210"/>
      <c r="V48" s="125" t="str">
        <f t="shared" si="0"/>
        <v/>
      </c>
      <c r="W48" s="126" t="str">
        <f t="shared" si="1"/>
        <v/>
      </c>
    </row>
    <row r="49" spans="1:23" x14ac:dyDescent="0.25">
      <c r="A49" s="123" t="str">
        <f>(IF(Info!$B46&lt;&gt;"",Info!$B46,""))</f>
        <v/>
      </c>
      <c r="B49" s="124"/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210"/>
      <c r="S49" s="210"/>
      <c r="T49" s="210"/>
      <c r="U49" s="210"/>
      <c r="V49" s="125" t="str">
        <f t="shared" si="0"/>
        <v/>
      </c>
      <c r="W49" s="126" t="str">
        <f t="shared" si="1"/>
        <v/>
      </c>
    </row>
    <row r="50" spans="1:23" x14ac:dyDescent="0.25">
      <c r="A50" s="123" t="str">
        <f>(IF(Info!$B47&lt;&gt;"",Info!$B47,""))</f>
        <v/>
      </c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210"/>
      <c r="S50" s="210"/>
      <c r="T50" s="210"/>
      <c r="U50" s="210"/>
      <c r="V50" s="125" t="str">
        <f t="shared" si="0"/>
        <v/>
      </c>
      <c r="W50" s="126" t="str">
        <f t="shared" si="1"/>
        <v/>
      </c>
    </row>
    <row r="51" spans="1:23" x14ac:dyDescent="0.25">
      <c r="A51" s="123" t="str">
        <f>(IF(Info!$B48&lt;&gt;"",Info!$B48,""))</f>
        <v/>
      </c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210"/>
      <c r="S51" s="210"/>
      <c r="T51" s="210"/>
      <c r="U51" s="210"/>
      <c r="V51" s="125" t="str">
        <f t="shared" si="0"/>
        <v/>
      </c>
      <c r="W51" s="126" t="str">
        <f t="shared" si="1"/>
        <v/>
      </c>
    </row>
    <row r="52" spans="1:23" x14ac:dyDescent="0.25">
      <c r="B52" s="177"/>
      <c r="C52" s="177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  <c r="R52" s="177"/>
      <c r="S52" s="177"/>
      <c r="T52" s="177"/>
      <c r="U52" s="177"/>
    </row>
    <row r="53" spans="1:23" x14ac:dyDescent="0.25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/>
      <c r="M53" s="197"/>
      <c r="N53" s="197"/>
      <c r="O53" s="197"/>
      <c r="P53" s="197"/>
      <c r="Q53" s="197"/>
      <c r="R53" s="177"/>
      <c r="S53" s="177"/>
      <c r="T53" s="177"/>
      <c r="U53" s="177"/>
    </row>
    <row r="54" spans="1:23" x14ac:dyDescent="0.25">
      <c r="B54" s="197"/>
      <c r="C54" s="197"/>
      <c r="D54" s="197"/>
      <c r="E54" s="197"/>
      <c r="F54" s="197"/>
      <c r="G54" s="197"/>
      <c r="H54" s="197"/>
      <c r="I54" s="197"/>
      <c r="J54" s="197"/>
      <c r="K54" s="197"/>
      <c r="L54" s="197"/>
      <c r="M54" s="197"/>
      <c r="N54" s="197"/>
      <c r="O54" s="197"/>
      <c r="P54" s="197"/>
      <c r="Q54" s="197"/>
      <c r="R54" s="177"/>
      <c r="S54" s="177"/>
      <c r="T54" s="177"/>
      <c r="U54" s="177"/>
    </row>
    <row r="55" spans="1:23" x14ac:dyDescent="0.25">
      <c r="B55" s="197"/>
      <c r="C55" s="197"/>
      <c r="D55" s="197"/>
      <c r="E55" s="197"/>
      <c r="F55" s="197"/>
      <c r="G55" s="197"/>
      <c r="H55" s="197"/>
      <c r="I55" s="197"/>
      <c r="J55" s="197"/>
      <c r="K55" s="197"/>
      <c r="L55" s="197"/>
      <c r="M55" s="197"/>
      <c r="N55" s="197"/>
      <c r="O55" s="197"/>
      <c r="P55" s="197"/>
      <c r="Q55" s="197"/>
      <c r="R55" s="177"/>
      <c r="S55" s="177"/>
      <c r="T55" s="177"/>
      <c r="U55" s="177"/>
    </row>
    <row r="56" spans="1:23" x14ac:dyDescent="0.25">
      <c r="B56" s="197"/>
      <c r="C56" s="197"/>
      <c r="D56" s="197"/>
      <c r="E56" s="197"/>
      <c r="F56" s="197"/>
      <c r="G56" s="197"/>
      <c r="H56" s="197"/>
      <c r="I56" s="197"/>
      <c r="J56" s="197"/>
      <c r="K56" s="197"/>
      <c r="L56" s="197"/>
      <c r="M56" s="197"/>
      <c r="N56" s="197"/>
      <c r="O56" s="197"/>
      <c r="P56" s="197"/>
      <c r="Q56" s="197"/>
      <c r="R56" s="177"/>
      <c r="S56" s="177"/>
      <c r="T56" s="177"/>
      <c r="U56" s="177"/>
    </row>
    <row r="57" spans="1:23" x14ac:dyDescent="0.25">
      <c r="D57" s="177"/>
      <c r="E57" s="177"/>
      <c r="R57" s="177"/>
      <c r="S57" s="177"/>
      <c r="T57" s="177"/>
      <c r="U57" s="177"/>
    </row>
    <row r="58" spans="1:23" x14ac:dyDescent="0.25">
      <c r="D58" s="177"/>
      <c r="E58" s="177"/>
      <c r="R58" s="177"/>
      <c r="S58" s="177"/>
      <c r="T58" s="177"/>
      <c r="U58" s="177"/>
    </row>
    <row r="59" spans="1:23" x14ac:dyDescent="0.25">
      <c r="D59" s="177"/>
      <c r="E59" s="177"/>
      <c r="R59" s="177"/>
      <c r="S59" s="177"/>
      <c r="T59" s="177"/>
      <c r="U59" s="177"/>
    </row>
    <row r="60" spans="1:23" x14ac:dyDescent="0.25">
      <c r="D60" s="177"/>
      <c r="E60" s="177"/>
      <c r="R60" s="211"/>
      <c r="S60" s="211"/>
      <c r="T60" s="211"/>
      <c r="U60" s="211"/>
    </row>
    <row r="61" spans="1:23" x14ac:dyDescent="0.25">
      <c r="D61" s="177"/>
      <c r="E61" s="177"/>
      <c r="R61" s="212"/>
      <c r="S61" s="212"/>
      <c r="T61" s="212"/>
      <c r="U61" s="212"/>
    </row>
    <row r="62" spans="1:23" x14ac:dyDescent="0.25">
      <c r="D62" s="177"/>
      <c r="E62" s="177"/>
      <c r="R62" s="212"/>
      <c r="S62" s="212"/>
      <c r="T62" s="212"/>
      <c r="U62" s="212"/>
    </row>
    <row r="63" spans="1:23" x14ac:dyDescent="0.25">
      <c r="D63" s="177"/>
      <c r="E63" s="177"/>
      <c r="R63" s="212"/>
      <c r="S63" s="212"/>
      <c r="T63" s="212"/>
      <c r="U63" s="212"/>
    </row>
    <row r="64" spans="1:23" x14ac:dyDescent="0.25">
      <c r="D64" s="177"/>
      <c r="E64" s="177"/>
      <c r="R64" s="212"/>
      <c r="S64" s="212"/>
      <c r="T64" s="212"/>
      <c r="U64" s="212"/>
    </row>
    <row r="65" spans="4:21" x14ac:dyDescent="0.25">
      <c r="D65" s="177"/>
      <c r="E65" s="177"/>
      <c r="S65" s="177"/>
      <c r="T65" s="177"/>
      <c r="U65" s="177"/>
    </row>
    <row r="66" spans="4:21" x14ac:dyDescent="0.25">
      <c r="D66" s="177"/>
      <c r="E66" s="177"/>
      <c r="S66" s="177"/>
      <c r="T66" s="177"/>
      <c r="U66" s="177"/>
    </row>
    <row r="67" spans="4:21" x14ac:dyDescent="0.25">
      <c r="D67" s="177"/>
      <c r="E67" s="177"/>
      <c r="S67" s="177"/>
      <c r="T67" s="177"/>
      <c r="U67" s="177"/>
    </row>
    <row r="68" spans="4:21" x14ac:dyDescent="0.25">
      <c r="D68" s="177"/>
      <c r="E68" s="177"/>
      <c r="S68" s="177"/>
      <c r="T68" s="177"/>
      <c r="U68" s="177"/>
    </row>
    <row r="69" spans="4:21" x14ac:dyDescent="0.25">
      <c r="D69" s="177"/>
      <c r="E69" s="177"/>
      <c r="S69" s="177"/>
      <c r="T69" s="177"/>
      <c r="U69" s="177"/>
    </row>
    <row r="70" spans="4:21" x14ac:dyDescent="0.25">
      <c r="D70" s="177"/>
      <c r="E70" s="177"/>
      <c r="S70" s="177"/>
      <c r="T70" s="177"/>
      <c r="U70" s="177"/>
    </row>
    <row r="71" spans="4:21" x14ac:dyDescent="0.25">
      <c r="D71" s="177"/>
      <c r="E71" s="177"/>
      <c r="S71" s="177"/>
      <c r="T71" s="177"/>
      <c r="U71" s="177"/>
    </row>
    <row r="72" spans="4:21" x14ac:dyDescent="0.25">
      <c r="D72" s="177"/>
      <c r="E72" s="177"/>
      <c r="S72" s="177"/>
      <c r="T72" s="177"/>
      <c r="U72" s="177"/>
    </row>
    <row r="73" spans="4:21" x14ac:dyDescent="0.25">
      <c r="D73" s="177"/>
      <c r="E73" s="177"/>
      <c r="S73" s="177"/>
      <c r="T73" s="177"/>
      <c r="U73" s="177"/>
    </row>
    <row r="74" spans="4:21" x14ac:dyDescent="0.25">
      <c r="D74" s="177"/>
      <c r="E74" s="177"/>
      <c r="S74" s="177"/>
      <c r="T74" s="177"/>
      <c r="U74" s="177"/>
    </row>
    <row r="75" spans="4:21" x14ac:dyDescent="0.25">
      <c r="D75" s="177"/>
      <c r="E75" s="177"/>
      <c r="S75" s="177"/>
      <c r="T75" s="177"/>
      <c r="U75" s="177"/>
    </row>
    <row r="76" spans="4:21" x14ac:dyDescent="0.25">
      <c r="D76" s="177"/>
      <c r="E76" s="177"/>
      <c r="S76" s="177"/>
      <c r="T76" s="177"/>
      <c r="U76" s="177"/>
    </row>
    <row r="77" spans="4:21" x14ac:dyDescent="0.25">
      <c r="D77" s="177"/>
      <c r="E77" s="177"/>
      <c r="S77" s="177"/>
      <c r="T77" s="177"/>
      <c r="U77" s="177"/>
    </row>
    <row r="78" spans="4:21" x14ac:dyDescent="0.25">
      <c r="D78" s="177"/>
      <c r="E78" s="177"/>
      <c r="S78" s="177"/>
      <c r="T78" s="177"/>
      <c r="U78" s="177"/>
    </row>
    <row r="79" spans="4:21" x14ac:dyDescent="0.25">
      <c r="D79" s="177"/>
      <c r="E79" s="177"/>
      <c r="S79" s="177"/>
      <c r="T79" s="177"/>
      <c r="U79" s="177"/>
    </row>
    <row r="80" spans="4:21" x14ac:dyDescent="0.25">
      <c r="D80" s="177"/>
      <c r="E80" s="177"/>
      <c r="S80" s="177"/>
      <c r="T80" s="177"/>
      <c r="U80" s="177"/>
    </row>
    <row r="81" spans="4:21" x14ac:dyDescent="0.25">
      <c r="D81" s="177"/>
      <c r="E81" s="177"/>
      <c r="S81" s="177"/>
      <c r="T81" s="177"/>
      <c r="U81" s="177"/>
    </row>
    <row r="82" spans="4:21" x14ac:dyDescent="0.25">
      <c r="D82" s="177"/>
      <c r="E82" s="177"/>
      <c r="S82" s="177"/>
      <c r="T82" s="177"/>
      <c r="U82" s="177"/>
    </row>
    <row r="83" spans="4:21" x14ac:dyDescent="0.25">
      <c r="D83" s="177"/>
      <c r="E83" s="177"/>
      <c r="S83" s="177"/>
      <c r="T83" s="177"/>
      <c r="U83" s="177"/>
    </row>
    <row r="84" spans="4:21" x14ac:dyDescent="0.25">
      <c r="D84" s="177"/>
      <c r="E84" s="177"/>
      <c r="S84" s="177"/>
      <c r="T84" s="177"/>
      <c r="U84" s="177"/>
    </row>
    <row r="85" spans="4:21" x14ac:dyDescent="0.25">
      <c r="D85" s="177"/>
      <c r="E85" s="177"/>
      <c r="S85" s="177"/>
      <c r="T85" s="177"/>
      <c r="U85" s="177"/>
    </row>
    <row r="86" spans="4:21" x14ac:dyDescent="0.25">
      <c r="D86" s="177"/>
      <c r="E86" s="177"/>
      <c r="S86" s="177"/>
      <c r="T86" s="177"/>
      <c r="U86" s="177"/>
    </row>
    <row r="87" spans="4:21" x14ac:dyDescent="0.25">
      <c r="D87" s="177"/>
      <c r="E87" s="177"/>
      <c r="S87" s="177"/>
      <c r="T87" s="177"/>
      <c r="U87" s="177"/>
    </row>
    <row r="88" spans="4:21" x14ac:dyDescent="0.25">
      <c r="D88" s="177"/>
      <c r="E88" s="177"/>
      <c r="S88" s="177"/>
      <c r="T88" s="177"/>
      <c r="U88" s="177"/>
    </row>
    <row r="89" spans="4:21" x14ac:dyDescent="0.25">
      <c r="D89" s="177"/>
      <c r="E89" s="177"/>
      <c r="S89" s="177"/>
      <c r="T89" s="177"/>
      <c r="U89" s="177"/>
    </row>
    <row r="90" spans="4:21" x14ac:dyDescent="0.25">
      <c r="D90" s="177"/>
      <c r="E90" s="177"/>
      <c r="S90" s="177"/>
      <c r="T90" s="177"/>
      <c r="U90" s="177"/>
    </row>
    <row r="91" spans="4:21" x14ac:dyDescent="0.25">
      <c r="D91" s="177"/>
      <c r="E91" s="177"/>
      <c r="S91" s="177"/>
      <c r="T91" s="177"/>
      <c r="U91" s="177"/>
    </row>
    <row r="92" spans="4:21" x14ac:dyDescent="0.25">
      <c r="D92" s="177"/>
      <c r="E92" s="177"/>
      <c r="S92" s="177"/>
      <c r="T92" s="177"/>
      <c r="U92" s="177"/>
    </row>
    <row r="93" spans="4:21" x14ac:dyDescent="0.25">
      <c r="D93" s="177"/>
      <c r="E93" s="177"/>
      <c r="S93" s="177"/>
      <c r="T93" s="177"/>
      <c r="U93" s="177"/>
    </row>
    <row r="94" spans="4:21" x14ac:dyDescent="0.25">
      <c r="D94" s="177"/>
      <c r="E94" s="177"/>
      <c r="S94" s="177"/>
      <c r="T94" s="177"/>
      <c r="U94" s="177"/>
    </row>
    <row r="95" spans="4:21" x14ac:dyDescent="0.25">
      <c r="D95" s="177"/>
      <c r="E95" s="177"/>
      <c r="S95" s="177"/>
      <c r="T95" s="177"/>
      <c r="U95" s="177"/>
    </row>
    <row r="96" spans="4:21" x14ac:dyDescent="0.25">
      <c r="D96" s="177"/>
      <c r="E96" s="177"/>
      <c r="S96" s="177"/>
      <c r="T96" s="177"/>
      <c r="U96" s="177"/>
    </row>
    <row r="97" spans="4:21" x14ac:dyDescent="0.25">
      <c r="D97" s="177"/>
      <c r="E97" s="177"/>
      <c r="S97" s="177"/>
      <c r="T97" s="177"/>
      <c r="U97" s="177"/>
    </row>
    <row r="98" spans="4:21" x14ac:dyDescent="0.25">
      <c r="D98" s="177"/>
      <c r="E98" s="177"/>
      <c r="S98" s="177"/>
      <c r="T98" s="177"/>
      <c r="U98" s="177"/>
    </row>
    <row r="99" spans="4:21" x14ac:dyDescent="0.25">
      <c r="D99" s="177"/>
      <c r="E99" s="177"/>
      <c r="S99" s="177"/>
      <c r="T99" s="177"/>
      <c r="U99" s="177"/>
    </row>
    <row r="100" spans="4:21" x14ac:dyDescent="0.25">
      <c r="D100" s="177"/>
      <c r="E100" s="177"/>
      <c r="S100" s="177"/>
      <c r="T100" s="177"/>
      <c r="U100" s="177"/>
    </row>
    <row r="101" spans="4:21" x14ac:dyDescent="0.25">
      <c r="D101" s="177"/>
      <c r="E101" s="177"/>
      <c r="S101" s="177"/>
      <c r="T101" s="177"/>
      <c r="U101" s="177"/>
    </row>
    <row r="102" spans="4:21" x14ac:dyDescent="0.25">
      <c r="D102" s="177"/>
      <c r="E102" s="177"/>
      <c r="S102" s="177"/>
      <c r="T102" s="177"/>
      <c r="U102" s="177"/>
    </row>
    <row r="103" spans="4:21" x14ac:dyDescent="0.25">
      <c r="D103" s="177"/>
      <c r="E103" s="177"/>
      <c r="S103" s="177"/>
      <c r="T103" s="177"/>
      <c r="U103" s="177"/>
    </row>
    <row r="104" spans="4:21" x14ac:dyDescent="0.25">
      <c r="D104" s="177"/>
      <c r="E104" s="177"/>
      <c r="S104" s="177"/>
      <c r="T104" s="177"/>
      <c r="U104" s="177"/>
    </row>
    <row r="105" spans="4:21" x14ac:dyDescent="0.25">
      <c r="D105" s="177"/>
      <c r="E105" s="177"/>
      <c r="S105" s="177"/>
      <c r="T105" s="177"/>
      <c r="U105" s="177"/>
    </row>
    <row r="106" spans="4:21" x14ac:dyDescent="0.25">
      <c r="D106" s="177"/>
      <c r="E106" s="177"/>
      <c r="S106" s="177"/>
      <c r="T106" s="177"/>
      <c r="U106" s="177"/>
    </row>
    <row r="107" spans="4:21" x14ac:dyDescent="0.25">
      <c r="D107" s="177"/>
      <c r="E107" s="177"/>
      <c r="S107" s="177"/>
      <c r="T107" s="177"/>
      <c r="U107" s="177"/>
    </row>
    <row r="108" spans="4:21" x14ac:dyDescent="0.25">
      <c r="D108" s="177"/>
      <c r="E108" s="177"/>
      <c r="S108" s="177"/>
      <c r="T108" s="177"/>
      <c r="U108" s="177"/>
    </row>
    <row r="109" spans="4:21" x14ac:dyDescent="0.25">
      <c r="D109" s="177"/>
      <c r="E109" s="177"/>
      <c r="S109" s="177"/>
      <c r="T109" s="177"/>
      <c r="U109" s="177"/>
    </row>
    <row r="110" spans="4:21" x14ac:dyDescent="0.25">
      <c r="D110" s="177"/>
      <c r="E110" s="177"/>
      <c r="S110" s="177"/>
      <c r="T110" s="177"/>
      <c r="U110" s="177"/>
    </row>
    <row r="111" spans="4:21" x14ac:dyDescent="0.25">
      <c r="D111" s="177"/>
      <c r="E111" s="177"/>
      <c r="S111" s="177"/>
      <c r="T111" s="177"/>
      <c r="U111" s="177"/>
    </row>
    <row r="112" spans="4:21" x14ac:dyDescent="0.25">
      <c r="D112" s="177"/>
      <c r="E112" s="177"/>
      <c r="S112" s="177"/>
      <c r="T112" s="177"/>
      <c r="U112" s="177"/>
    </row>
    <row r="113" spans="4:21" x14ac:dyDescent="0.25">
      <c r="D113" s="177"/>
      <c r="E113" s="177"/>
      <c r="S113" s="177"/>
      <c r="T113" s="177"/>
      <c r="U113" s="177"/>
    </row>
    <row r="114" spans="4:21" x14ac:dyDescent="0.25">
      <c r="D114" s="177"/>
      <c r="E114" s="177"/>
      <c r="S114" s="177"/>
      <c r="T114" s="177"/>
      <c r="U114" s="177"/>
    </row>
    <row r="115" spans="4:21" x14ac:dyDescent="0.25">
      <c r="D115" s="177"/>
      <c r="E115" s="177"/>
      <c r="S115" s="177"/>
      <c r="T115" s="177"/>
      <c r="U115" s="177"/>
    </row>
    <row r="116" spans="4:21" x14ac:dyDescent="0.25">
      <c r="D116" s="177"/>
      <c r="E116" s="177"/>
      <c r="S116" s="177"/>
      <c r="T116" s="177"/>
      <c r="U116" s="177"/>
    </row>
    <row r="117" spans="4:21" x14ac:dyDescent="0.25">
      <c r="D117" s="177"/>
      <c r="E117" s="177"/>
      <c r="S117" s="177"/>
      <c r="T117" s="177"/>
      <c r="U117" s="177"/>
    </row>
    <row r="118" spans="4:21" x14ac:dyDescent="0.25">
      <c r="D118" s="177"/>
      <c r="E118" s="177"/>
      <c r="S118" s="177"/>
      <c r="T118" s="177"/>
      <c r="U118" s="177"/>
    </row>
    <row r="119" spans="4:21" x14ac:dyDescent="0.25">
      <c r="D119" s="177"/>
      <c r="E119" s="177"/>
      <c r="S119" s="177"/>
      <c r="T119" s="177"/>
      <c r="U119" s="177"/>
    </row>
    <row r="120" spans="4:21" x14ac:dyDescent="0.25">
      <c r="D120" s="177"/>
      <c r="E120" s="177"/>
      <c r="S120" s="177"/>
      <c r="T120" s="177"/>
      <c r="U120" s="177"/>
    </row>
    <row r="121" spans="4:21" x14ac:dyDescent="0.25">
      <c r="D121" s="177"/>
      <c r="E121" s="177"/>
      <c r="S121" s="177"/>
      <c r="T121" s="177"/>
      <c r="U121" s="177"/>
    </row>
    <row r="122" spans="4:21" x14ac:dyDescent="0.25">
      <c r="D122" s="177"/>
      <c r="E122" s="177"/>
      <c r="S122" s="177"/>
      <c r="T122" s="177"/>
      <c r="U122" s="177"/>
    </row>
    <row r="123" spans="4:21" x14ac:dyDescent="0.25">
      <c r="D123" s="177"/>
      <c r="E123" s="177"/>
      <c r="S123" s="177"/>
      <c r="T123" s="177"/>
      <c r="U123" s="177"/>
    </row>
    <row r="124" spans="4:21" x14ac:dyDescent="0.25">
      <c r="D124" s="177"/>
      <c r="E124" s="177"/>
      <c r="S124" s="177"/>
      <c r="T124" s="177"/>
      <c r="U124" s="177"/>
    </row>
    <row r="125" spans="4:21" x14ac:dyDescent="0.25">
      <c r="D125" s="177"/>
      <c r="E125" s="177"/>
      <c r="S125" s="177"/>
      <c r="T125" s="177"/>
      <c r="U125" s="177"/>
    </row>
    <row r="126" spans="4:21" x14ac:dyDescent="0.25">
      <c r="D126" s="177"/>
      <c r="E126" s="177"/>
      <c r="S126" s="177"/>
      <c r="T126" s="177"/>
      <c r="U126" s="177"/>
    </row>
    <row r="127" spans="4:21" x14ac:dyDescent="0.25">
      <c r="D127" s="177"/>
      <c r="E127" s="177"/>
      <c r="S127" s="177"/>
      <c r="T127" s="177"/>
      <c r="U127" s="177"/>
    </row>
    <row r="128" spans="4:21" x14ac:dyDescent="0.25">
      <c r="D128" s="177"/>
      <c r="E128" s="177"/>
      <c r="S128" s="177"/>
      <c r="T128" s="177"/>
      <c r="U128" s="177"/>
    </row>
    <row r="129" spans="4:21" x14ac:dyDescent="0.25">
      <c r="D129" s="177"/>
      <c r="E129" s="177"/>
      <c r="S129" s="177"/>
      <c r="T129" s="177"/>
      <c r="U129" s="177"/>
    </row>
    <row r="130" spans="4:21" x14ac:dyDescent="0.25">
      <c r="D130" s="177"/>
      <c r="E130" s="177"/>
      <c r="S130" s="177"/>
      <c r="T130" s="177"/>
      <c r="U130" s="177"/>
    </row>
    <row r="131" spans="4:21" x14ac:dyDescent="0.25">
      <c r="D131" s="177"/>
      <c r="E131" s="177"/>
      <c r="S131" s="177"/>
      <c r="T131" s="177"/>
      <c r="U131" s="177"/>
    </row>
    <row r="132" spans="4:21" x14ac:dyDescent="0.25">
      <c r="D132" s="177"/>
      <c r="E132" s="177"/>
      <c r="S132" s="177"/>
      <c r="T132" s="177"/>
      <c r="U132" s="177"/>
    </row>
    <row r="133" spans="4:21" x14ac:dyDescent="0.25">
      <c r="D133" s="177"/>
      <c r="E133" s="177"/>
      <c r="S133" s="177"/>
      <c r="T133" s="177"/>
      <c r="U133" s="177"/>
    </row>
    <row r="134" spans="4:21" x14ac:dyDescent="0.25">
      <c r="D134" s="177"/>
      <c r="E134" s="177"/>
      <c r="S134" s="177"/>
      <c r="T134" s="177"/>
      <c r="U134" s="177"/>
    </row>
    <row r="135" spans="4:21" x14ac:dyDescent="0.25">
      <c r="D135" s="177"/>
      <c r="E135" s="177"/>
      <c r="S135" s="177"/>
      <c r="T135" s="177"/>
      <c r="U135" s="177"/>
    </row>
    <row r="136" spans="4:21" x14ac:dyDescent="0.25">
      <c r="D136" s="177"/>
      <c r="E136" s="177"/>
      <c r="S136" s="177"/>
      <c r="T136" s="177"/>
      <c r="U136" s="177"/>
    </row>
    <row r="137" spans="4:21" x14ac:dyDescent="0.25">
      <c r="D137" s="177"/>
      <c r="E137" s="177"/>
      <c r="S137" s="177"/>
      <c r="T137" s="177"/>
      <c r="U137" s="177"/>
    </row>
    <row r="138" spans="4:21" x14ac:dyDescent="0.25">
      <c r="D138" s="177"/>
      <c r="E138" s="177"/>
      <c r="S138" s="177"/>
      <c r="T138" s="177"/>
      <c r="U138" s="177"/>
    </row>
    <row r="139" spans="4:21" x14ac:dyDescent="0.25">
      <c r="D139" s="177"/>
      <c r="E139" s="177"/>
      <c r="S139" s="177"/>
      <c r="T139" s="177"/>
      <c r="U139" s="177"/>
    </row>
    <row r="140" spans="4:21" x14ac:dyDescent="0.25">
      <c r="D140" s="177"/>
      <c r="E140" s="177"/>
      <c r="S140" s="177"/>
      <c r="T140" s="177"/>
      <c r="U140" s="177"/>
    </row>
    <row r="141" spans="4:21" x14ac:dyDescent="0.25">
      <c r="D141" s="177"/>
      <c r="E141" s="177"/>
      <c r="S141" s="177"/>
      <c r="T141" s="177"/>
      <c r="U141" s="177"/>
    </row>
    <row r="142" spans="4:21" x14ac:dyDescent="0.25">
      <c r="D142" s="177"/>
      <c r="E142" s="177"/>
      <c r="S142" s="177"/>
      <c r="T142" s="177"/>
      <c r="U142" s="177"/>
    </row>
    <row r="143" spans="4:21" x14ac:dyDescent="0.25">
      <c r="D143" s="177"/>
      <c r="E143" s="177"/>
      <c r="S143" s="177"/>
      <c r="T143" s="177"/>
      <c r="U143" s="177"/>
    </row>
    <row r="144" spans="4:21" x14ac:dyDescent="0.25">
      <c r="D144" s="177"/>
      <c r="E144" s="177"/>
      <c r="S144" s="177"/>
      <c r="T144" s="177"/>
      <c r="U144" s="177"/>
    </row>
    <row r="145" spans="4:21" x14ac:dyDescent="0.25">
      <c r="D145" s="177"/>
      <c r="E145" s="177"/>
      <c r="S145" s="177"/>
      <c r="T145" s="177"/>
      <c r="U145" s="177"/>
    </row>
    <row r="146" spans="4:21" x14ac:dyDescent="0.25">
      <c r="D146" s="177"/>
      <c r="E146" s="177"/>
      <c r="S146" s="177"/>
      <c r="T146" s="177"/>
      <c r="U146" s="177"/>
    </row>
    <row r="147" spans="4:21" x14ac:dyDescent="0.25">
      <c r="D147" s="177"/>
      <c r="E147" s="177"/>
      <c r="S147" s="177"/>
      <c r="T147" s="177"/>
      <c r="U147" s="177"/>
    </row>
    <row r="148" spans="4:21" x14ac:dyDescent="0.25">
      <c r="D148" s="177"/>
      <c r="E148" s="177"/>
      <c r="S148" s="177"/>
      <c r="T148" s="177"/>
      <c r="U148" s="177"/>
    </row>
    <row r="149" spans="4:21" x14ac:dyDescent="0.25">
      <c r="D149" s="177"/>
      <c r="E149" s="177"/>
      <c r="S149" s="177"/>
      <c r="T149" s="177"/>
      <c r="U149" s="177"/>
    </row>
    <row r="150" spans="4:21" x14ac:dyDescent="0.25">
      <c r="D150" s="177"/>
      <c r="E150" s="177"/>
      <c r="S150" s="177"/>
      <c r="T150" s="177"/>
      <c r="U150" s="177"/>
    </row>
    <row r="151" spans="4:21" x14ac:dyDescent="0.25">
      <c r="D151" s="177"/>
      <c r="E151" s="177"/>
      <c r="S151" s="177"/>
      <c r="T151" s="177"/>
      <c r="U151" s="177"/>
    </row>
    <row r="152" spans="4:21" x14ac:dyDescent="0.25">
      <c r="D152" s="177"/>
      <c r="E152" s="177"/>
      <c r="S152" s="177"/>
      <c r="T152" s="177"/>
      <c r="U152" s="177"/>
    </row>
    <row r="153" spans="4:21" x14ac:dyDescent="0.25">
      <c r="D153" s="177"/>
      <c r="E153" s="177"/>
      <c r="S153" s="177"/>
      <c r="T153" s="177"/>
      <c r="U153" s="177"/>
    </row>
    <row r="154" spans="4:21" x14ac:dyDescent="0.25">
      <c r="D154" s="177"/>
      <c r="E154" s="177"/>
      <c r="S154" s="177"/>
      <c r="T154" s="177"/>
      <c r="U154" s="177"/>
    </row>
    <row r="155" spans="4:21" x14ac:dyDescent="0.25">
      <c r="D155" s="177"/>
      <c r="E155" s="177"/>
      <c r="S155" s="177"/>
      <c r="T155" s="177"/>
      <c r="U155" s="177"/>
    </row>
    <row r="156" spans="4:21" x14ac:dyDescent="0.25">
      <c r="D156" s="177"/>
      <c r="E156" s="177"/>
      <c r="S156" s="177"/>
      <c r="T156" s="177"/>
      <c r="U156" s="177"/>
    </row>
    <row r="157" spans="4:21" x14ac:dyDescent="0.25">
      <c r="D157" s="177"/>
      <c r="E157" s="177"/>
      <c r="S157" s="177"/>
      <c r="T157" s="177"/>
      <c r="U157" s="177"/>
    </row>
    <row r="158" spans="4:21" x14ac:dyDescent="0.25">
      <c r="D158" s="177"/>
      <c r="E158" s="177"/>
      <c r="S158" s="177"/>
      <c r="T158" s="177"/>
      <c r="U158" s="177"/>
    </row>
    <row r="159" spans="4:21" x14ac:dyDescent="0.25">
      <c r="D159" s="177"/>
      <c r="E159" s="177"/>
      <c r="S159" s="177"/>
      <c r="T159" s="177"/>
      <c r="U159" s="177"/>
    </row>
    <row r="160" spans="4:21" x14ac:dyDescent="0.25">
      <c r="D160" s="177"/>
      <c r="E160" s="177"/>
      <c r="S160" s="177"/>
      <c r="T160" s="177"/>
      <c r="U160" s="177"/>
    </row>
    <row r="161" spans="4:21" x14ac:dyDescent="0.25">
      <c r="D161" s="177"/>
      <c r="E161" s="177"/>
      <c r="S161" s="177"/>
      <c r="T161" s="177"/>
      <c r="U161" s="177"/>
    </row>
    <row r="162" spans="4:21" x14ac:dyDescent="0.25">
      <c r="D162" s="177"/>
      <c r="E162" s="177"/>
      <c r="S162" s="177"/>
      <c r="T162" s="177"/>
      <c r="U162" s="177"/>
    </row>
    <row r="163" spans="4:21" x14ac:dyDescent="0.25">
      <c r="D163" s="177"/>
      <c r="E163" s="177"/>
      <c r="S163" s="177"/>
      <c r="T163" s="177"/>
      <c r="U163" s="177"/>
    </row>
    <row r="164" spans="4:21" x14ac:dyDescent="0.25">
      <c r="D164" s="177"/>
      <c r="E164" s="177"/>
      <c r="S164" s="177"/>
      <c r="T164" s="177"/>
      <c r="U164" s="177"/>
    </row>
    <row r="165" spans="4:21" x14ac:dyDescent="0.25">
      <c r="D165" s="177"/>
      <c r="E165" s="177"/>
      <c r="S165" s="177"/>
      <c r="T165" s="177"/>
      <c r="U165" s="177"/>
    </row>
    <row r="166" spans="4:21" x14ac:dyDescent="0.25">
      <c r="D166" s="177"/>
      <c r="E166" s="177"/>
      <c r="S166" s="177"/>
      <c r="T166" s="177"/>
      <c r="U166" s="177"/>
    </row>
    <row r="167" spans="4:21" x14ac:dyDescent="0.25">
      <c r="D167" s="177"/>
      <c r="E167" s="177"/>
      <c r="S167" s="177"/>
      <c r="T167" s="177"/>
      <c r="U167" s="177"/>
    </row>
    <row r="168" spans="4:21" x14ac:dyDescent="0.25">
      <c r="D168" s="177"/>
      <c r="E168" s="177"/>
      <c r="S168" s="177"/>
      <c r="T168" s="177"/>
      <c r="U168" s="177"/>
    </row>
    <row r="169" spans="4:21" x14ac:dyDescent="0.25">
      <c r="D169" s="177"/>
      <c r="E169" s="177"/>
      <c r="S169" s="177"/>
      <c r="T169" s="177"/>
      <c r="U169" s="177"/>
    </row>
    <row r="170" spans="4:21" x14ac:dyDescent="0.25">
      <c r="D170" s="177"/>
      <c r="E170" s="177"/>
      <c r="S170" s="177"/>
      <c r="T170" s="177"/>
      <c r="U170" s="177"/>
    </row>
    <row r="171" spans="4:21" x14ac:dyDescent="0.25">
      <c r="D171" s="177"/>
      <c r="E171" s="177"/>
      <c r="S171" s="177"/>
      <c r="T171" s="177"/>
      <c r="U171" s="177"/>
    </row>
    <row r="172" spans="4:21" x14ac:dyDescent="0.25">
      <c r="D172" s="177"/>
      <c r="E172" s="177"/>
      <c r="S172" s="177"/>
      <c r="T172" s="177"/>
      <c r="U172" s="177"/>
    </row>
    <row r="173" spans="4:21" x14ac:dyDescent="0.25">
      <c r="D173" s="177"/>
      <c r="E173" s="177"/>
      <c r="S173" s="177"/>
      <c r="T173" s="177"/>
      <c r="U173" s="177"/>
    </row>
    <row r="174" spans="4:21" x14ac:dyDescent="0.25">
      <c r="D174" s="177"/>
      <c r="E174" s="177"/>
      <c r="S174" s="177"/>
      <c r="T174" s="177"/>
      <c r="U174" s="177"/>
    </row>
    <row r="175" spans="4:21" x14ac:dyDescent="0.25">
      <c r="D175" s="177"/>
      <c r="E175" s="177"/>
      <c r="S175" s="177"/>
      <c r="T175" s="177"/>
      <c r="U175" s="177"/>
    </row>
    <row r="176" spans="4:21" x14ac:dyDescent="0.25">
      <c r="D176" s="177"/>
      <c r="E176" s="177"/>
      <c r="S176" s="177"/>
      <c r="T176" s="177"/>
      <c r="U176" s="177"/>
    </row>
    <row r="177" spans="4:21" x14ac:dyDescent="0.25">
      <c r="D177" s="177"/>
      <c r="E177" s="177"/>
      <c r="S177" s="177"/>
      <c r="T177" s="177"/>
      <c r="U177" s="177"/>
    </row>
    <row r="178" spans="4:21" x14ac:dyDescent="0.25">
      <c r="D178" s="177"/>
      <c r="E178" s="177"/>
      <c r="S178" s="177"/>
      <c r="T178" s="177"/>
      <c r="U178" s="177"/>
    </row>
    <row r="179" spans="4:21" x14ac:dyDescent="0.25">
      <c r="D179" s="177"/>
      <c r="E179" s="177"/>
      <c r="S179" s="177"/>
      <c r="T179" s="177"/>
      <c r="U179" s="177"/>
    </row>
    <row r="180" spans="4:21" x14ac:dyDescent="0.25">
      <c r="D180" s="177"/>
      <c r="E180" s="177"/>
      <c r="S180" s="177"/>
      <c r="T180" s="177"/>
      <c r="U180" s="177"/>
    </row>
    <row r="181" spans="4:21" x14ac:dyDescent="0.25">
      <c r="D181" s="177"/>
      <c r="E181" s="177"/>
      <c r="S181" s="177"/>
      <c r="T181" s="177"/>
      <c r="U181" s="177"/>
    </row>
    <row r="182" spans="4:21" x14ac:dyDescent="0.25">
      <c r="D182" s="177"/>
      <c r="E182" s="177"/>
      <c r="S182" s="177"/>
      <c r="T182" s="177"/>
      <c r="U182" s="177"/>
    </row>
    <row r="183" spans="4:21" x14ac:dyDescent="0.25">
      <c r="D183" s="177"/>
      <c r="E183" s="177"/>
      <c r="S183" s="177"/>
      <c r="T183" s="177"/>
      <c r="U183" s="177"/>
    </row>
    <row r="184" spans="4:21" x14ac:dyDescent="0.25">
      <c r="D184" s="177"/>
      <c r="E184" s="177"/>
      <c r="S184" s="177"/>
      <c r="T184" s="177"/>
      <c r="U184" s="177"/>
    </row>
    <row r="185" spans="4:21" x14ac:dyDescent="0.25">
      <c r="D185" s="177"/>
      <c r="E185" s="177"/>
      <c r="S185" s="177"/>
      <c r="T185" s="177"/>
      <c r="U185" s="177"/>
    </row>
    <row r="186" spans="4:21" x14ac:dyDescent="0.25">
      <c r="D186" s="177"/>
      <c r="E186" s="177"/>
      <c r="S186" s="177"/>
      <c r="T186" s="177"/>
      <c r="U186" s="177"/>
    </row>
    <row r="187" spans="4:21" x14ac:dyDescent="0.25">
      <c r="D187" s="177"/>
      <c r="E187" s="177"/>
      <c r="S187" s="177"/>
      <c r="T187" s="177"/>
      <c r="U187" s="177"/>
    </row>
    <row r="188" spans="4:21" x14ac:dyDescent="0.25">
      <c r="D188" s="177"/>
      <c r="E188" s="177"/>
      <c r="S188" s="177"/>
      <c r="T188" s="177"/>
      <c r="U188" s="177"/>
    </row>
    <row r="189" spans="4:21" x14ac:dyDescent="0.25">
      <c r="D189" s="177"/>
      <c r="E189" s="177"/>
      <c r="S189" s="177"/>
      <c r="T189" s="177"/>
      <c r="U189" s="177"/>
    </row>
    <row r="190" spans="4:21" x14ac:dyDescent="0.25">
      <c r="D190" s="177"/>
      <c r="E190" s="177"/>
      <c r="S190" s="177"/>
      <c r="T190" s="177"/>
      <c r="U190" s="177"/>
    </row>
    <row r="191" spans="4:21" x14ac:dyDescent="0.25">
      <c r="D191" s="177"/>
      <c r="E191" s="177"/>
      <c r="S191" s="177"/>
      <c r="T191" s="177"/>
      <c r="U191" s="177"/>
    </row>
    <row r="192" spans="4:21" x14ac:dyDescent="0.25">
      <c r="D192" s="177"/>
      <c r="E192" s="177"/>
      <c r="S192" s="177"/>
      <c r="T192" s="177"/>
      <c r="U192" s="177"/>
    </row>
    <row r="193" spans="4:21" x14ac:dyDescent="0.25">
      <c r="D193" s="177"/>
      <c r="E193" s="177"/>
      <c r="S193" s="177"/>
      <c r="T193" s="177"/>
      <c r="U193" s="177"/>
    </row>
    <row r="194" spans="4:21" x14ac:dyDescent="0.25">
      <c r="D194" s="177"/>
      <c r="E194" s="177"/>
      <c r="S194" s="177"/>
      <c r="T194" s="177"/>
      <c r="U194" s="177"/>
    </row>
    <row r="195" spans="4:21" x14ac:dyDescent="0.25">
      <c r="D195" s="177"/>
      <c r="E195" s="177"/>
      <c r="S195" s="177"/>
      <c r="T195" s="177"/>
      <c r="U195" s="177"/>
    </row>
    <row r="196" spans="4:21" x14ac:dyDescent="0.25">
      <c r="D196" s="177"/>
      <c r="E196" s="177"/>
      <c r="S196" s="177"/>
      <c r="T196" s="177"/>
      <c r="U196" s="177"/>
    </row>
    <row r="197" spans="4:21" x14ac:dyDescent="0.25">
      <c r="D197" s="177"/>
      <c r="E197" s="177"/>
      <c r="S197" s="177"/>
      <c r="T197" s="177"/>
      <c r="U197" s="177"/>
    </row>
    <row r="198" spans="4:21" x14ac:dyDescent="0.25">
      <c r="D198" s="177"/>
      <c r="E198" s="177"/>
      <c r="S198" s="177"/>
      <c r="T198" s="177"/>
      <c r="U198" s="177"/>
    </row>
    <row r="199" spans="4:21" x14ac:dyDescent="0.25">
      <c r="D199" s="177"/>
      <c r="E199" s="177"/>
      <c r="S199" s="177"/>
      <c r="T199" s="177"/>
      <c r="U199" s="177"/>
    </row>
    <row r="200" spans="4:21" x14ac:dyDescent="0.25">
      <c r="D200" s="177"/>
      <c r="E200" s="177"/>
      <c r="S200" s="177"/>
      <c r="T200" s="177"/>
      <c r="U200" s="177"/>
    </row>
    <row r="201" spans="4:21" x14ac:dyDescent="0.25">
      <c r="D201" s="177"/>
      <c r="E201" s="177"/>
      <c r="S201" s="177"/>
      <c r="T201" s="177"/>
      <c r="U201" s="177"/>
    </row>
    <row r="202" spans="4:21" x14ac:dyDescent="0.25">
      <c r="D202" s="177"/>
      <c r="E202" s="177"/>
      <c r="S202" s="177"/>
      <c r="T202" s="177"/>
      <c r="U202" s="177"/>
    </row>
    <row r="203" spans="4:21" x14ac:dyDescent="0.25">
      <c r="D203" s="177"/>
      <c r="E203" s="177"/>
      <c r="S203" s="177"/>
      <c r="T203" s="177"/>
      <c r="U203" s="177"/>
    </row>
    <row r="204" spans="4:21" x14ac:dyDescent="0.25">
      <c r="D204" s="177"/>
      <c r="E204" s="177"/>
      <c r="S204" s="177"/>
      <c r="T204" s="177"/>
      <c r="U204" s="177"/>
    </row>
    <row r="205" spans="4:21" x14ac:dyDescent="0.25">
      <c r="D205" s="177"/>
      <c r="E205" s="177"/>
      <c r="S205" s="177"/>
      <c r="T205" s="177"/>
      <c r="U205" s="177"/>
    </row>
    <row r="206" spans="4:21" x14ac:dyDescent="0.25">
      <c r="D206" s="177"/>
      <c r="E206" s="177"/>
      <c r="S206" s="177"/>
      <c r="T206" s="177"/>
      <c r="U206" s="177"/>
    </row>
    <row r="207" spans="4:21" x14ac:dyDescent="0.25">
      <c r="D207" s="177"/>
      <c r="E207" s="177"/>
      <c r="S207" s="177"/>
      <c r="T207" s="177"/>
      <c r="U207" s="177"/>
    </row>
    <row r="208" spans="4:21" x14ac:dyDescent="0.25">
      <c r="D208" s="177"/>
      <c r="E208" s="177"/>
      <c r="S208" s="177"/>
      <c r="T208" s="177"/>
      <c r="U208" s="177"/>
    </row>
    <row r="209" spans="4:21" x14ac:dyDescent="0.25">
      <c r="D209" s="177"/>
      <c r="E209" s="177"/>
      <c r="S209" s="177"/>
      <c r="T209" s="177"/>
      <c r="U209" s="177"/>
    </row>
    <row r="210" spans="4:21" x14ac:dyDescent="0.25">
      <c r="D210" s="177"/>
      <c r="E210" s="177"/>
      <c r="S210" s="177"/>
      <c r="T210" s="177"/>
      <c r="U210" s="177"/>
    </row>
    <row r="211" spans="4:21" x14ac:dyDescent="0.25">
      <c r="D211" s="177"/>
      <c r="E211" s="177"/>
      <c r="S211" s="177"/>
      <c r="T211" s="177"/>
      <c r="U211" s="177"/>
    </row>
    <row r="212" spans="4:21" x14ac:dyDescent="0.25">
      <c r="D212" s="177"/>
      <c r="E212" s="177"/>
      <c r="S212" s="177"/>
      <c r="T212" s="177"/>
      <c r="U212" s="177"/>
    </row>
    <row r="213" spans="4:21" x14ac:dyDescent="0.25">
      <c r="D213" s="177"/>
      <c r="E213" s="177"/>
      <c r="S213" s="177"/>
      <c r="T213" s="177"/>
      <c r="U213" s="177"/>
    </row>
    <row r="214" spans="4:21" x14ac:dyDescent="0.25">
      <c r="D214" s="177"/>
      <c r="E214" s="177"/>
      <c r="S214" s="177"/>
      <c r="T214" s="177"/>
      <c r="U214" s="177"/>
    </row>
    <row r="215" spans="4:21" x14ac:dyDescent="0.25">
      <c r="D215" s="177"/>
      <c r="E215" s="177"/>
      <c r="S215" s="177"/>
      <c r="T215" s="177"/>
      <c r="U215" s="177"/>
    </row>
    <row r="216" spans="4:21" x14ac:dyDescent="0.25">
      <c r="D216" s="177"/>
      <c r="E216" s="177"/>
      <c r="S216" s="177"/>
      <c r="T216" s="177"/>
      <c r="U216" s="177"/>
    </row>
    <row r="217" spans="4:21" x14ac:dyDescent="0.25">
      <c r="D217" s="177"/>
      <c r="E217" s="177"/>
      <c r="S217" s="177"/>
      <c r="T217" s="177"/>
      <c r="U217" s="177"/>
    </row>
    <row r="218" spans="4:21" x14ac:dyDescent="0.25">
      <c r="D218" s="177"/>
      <c r="E218" s="177"/>
      <c r="S218" s="177"/>
      <c r="T218" s="177"/>
      <c r="U218" s="177"/>
    </row>
    <row r="219" spans="4:21" x14ac:dyDescent="0.25">
      <c r="D219" s="177"/>
      <c r="E219" s="177"/>
      <c r="S219" s="177"/>
      <c r="T219" s="177"/>
      <c r="U219" s="177"/>
    </row>
    <row r="220" spans="4:21" x14ac:dyDescent="0.25">
      <c r="D220" s="177"/>
      <c r="E220" s="177"/>
      <c r="S220" s="177"/>
      <c r="T220" s="177"/>
      <c r="U220" s="177"/>
    </row>
    <row r="221" spans="4:21" x14ac:dyDescent="0.25">
      <c r="D221" s="177"/>
      <c r="E221" s="177"/>
      <c r="S221" s="177"/>
      <c r="T221" s="177"/>
      <c r="U221" s="177"/>
    </row>
    <row r="222" spans="4:21" x14ac:dyDescent="0.25">
      <c r="D222" s="177"/>
      <c r="E222" s="177"/>
      <c r="S222" s="177"/>
      <c r="T222" s="177"/>
      <c r="U222" s="177"/>
    </row>
    <row r="223" spans="4:21" x14ac:dyDescent="0.25">
      <c r="D223" s="177"/>
      <c r="E223" s="177"/>
      <c r="S223" s="177"/>
      <c r="T223" s="177"/>
      <c r="U223" s="177"/>
    </row>
    <row r="224" spans="4:21" x14ac:dyDescent="0.25">
      <c r="D224" s="177"/>
      <c r="E224" s="177"/>
      <c r="S224" s="177"/>
      <c r="T224" s="177"/>
      <c r="U224" s="177"/>
    </row>
    <row r="225" spans="4:21" x14ac:dyDescent="0.25">
      <c r="D225" s="177"/>
      <c r="E225" s="177"/>
      <c r="S225" s="177"/>
      <c r="T225" s="177"/>
      <c r="U225" s="177"/>
    </row>
    <row r="226" spans="4:21" x14ac:dyDescent="0.25">
      <c r="D226" s="177"/>
      <c r="E226" s="177"/>
      <c r="S226" s="177"/>
      <c r="T226" s="177"/>
      <c r="U226" s="177"/>
    </row>
  </sheetData>
  <sheetProtection selectLockedCells="1"/>
  <mergeCells count="9">
    <mergeCell ref="V2:W2"/>
    <mergeCell ref="B1:C1"/>
    <mergeCell ref="B2:C2"/>
    <mergeCell ref="D2:G2"/>
    <mergeCell ref="I2:K2"/>
    <mergeCell ref="L2:Q2"/>
    <mergeCell ref="R2:U2"/>
    <mergeCell ref="M1:V1"/>
    <mergeCell ref="E1:L1"/>
  </mergeCells>
  <phoneticPr fontId="1" type="noConversion"/>
  <conditionalFormatting sqref="W1">
    <cfRule type="cellIs" dxfId="54" priority="565" stopIfTrue="1" operator="greaterThanOrEqual">
      <formula>0.85</formula>
    </cfRule>
    <cfRule type="cellIs" dxfId="53" priority="567" stopIfTrue="1" operator="lessThan">
      <formula>0.85</formula>
    </cfRule>
  </conditionalFormatting>
  <conditionalFormatting sqref="F6:F51">
    <cfRule type="expression" dxfId="52" priority="7">
      <formula>COUNTA(F6)&gt;0</formula>
    </cfRule>
    <cfRule type="colorScale" priority="8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B6:B51">
    <cfRule type="expression" dxfId="51" priority="15">
      <formula>COUNTA(B6)&gt;0</formula>
    </cfRule>
    <cfRule type="colorScale" priority="16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:C51">
    <cfRule type="expression" dxfId="50" priority="13">
      <formula>COUNTA(C6)&gt;0</formula>
    </cfRule>
    <cfRule type="colorScale" priority="14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E6:E51">
    <cfRule type="expression" dxfId="49" priority="11">
      <formula>COUNTA(E6)&gt;0</formula>
    </cfRule>
    <cfRule type="colorScale" priority="12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:D51">
    <cfRule type="expression" dxfId="48" priority="9">
      <formula>COUNTA(D6)&gt;0</formula>
    </cfRule>
    <cfRule type="colorScale" priority="10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G6:G51">
    <cfRule type="expression" dxfId="47" priority="39">
      <formula>COUNTA(G6)&gt;0</formula>
    </cfRule>
    <cfRule type="colorScale" priority="40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:H51">
    <cfRule type="expression" dxfId="46" priority="37">
      <formula>COUNTA(H6)&gt;0</formula>
    </cfRule>
    <cfRule type="colorScale" priority="38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6:I51">
    <cfRule type="expression" dxfId="45" priority="35">
      <formula>COUNTA(I6)&gt;0</formula>
    </cfRule>
    <cfRule type="colorScale" priority="36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6:J51">
    <cfRule type="expression" dxfId="44" priority="33">
      <formula>COUNTA(J6)&gt;0</formula>
    </cfRule>
    <cfRule type="colorScale" priority="34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6:K51">
    <cfRule type="expression" dxfId="43" priority="31">
      <formula>COUNTA(K6)&gt;0</formula>
    </cfRule>
    <cfRule type="colorScale" priority="32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6:L51">
    <cfRule type="expression" dxfId="42" priority="29">
      <formula>COUNTA(L6)&gt;0</formula>
    </cfRule>
    <cfRule type="colorScale" priority="30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M6:M51">
    <cfRule type="expression" dxfId="41" priority="27">
      <formula>COUNTA(M6)&gt;0</formula>
    </cfRule>
    <cfRule type="colorScale" priority="28">
      <colorScale>
        <cfvo type="num" val="0"/>
        <cfvo type="num" val="($M$4)/2"/>
        <cfvo type="num" val="$M$4"/>
        <color rgb="FFEA4C4C"/>
        <color rgb="FFFFEB84"/>
        <color theme="6" tint="-0.249977111117893"/>
      </colorScale>
    </cfRule>
  </conditionalFormatting>
  <conditionalFormatting sqref="N6:N51">
    <cfRule type="expression" dxfId="40" priority="25">
      <formula>COUNTA(N6)&gt;0</formula>
    </cfRule>
    <cfRule type="colorScale" priority="26">
      <colorScale>
        <cfvo type="num" val="0"/>
        <cfvo type="num" val="($N$4)/2"/>
        <cfvo type="num" val="$N$4"/>
        <color rgb="FFEA4C4C"/>
        <color rgb="FFFFEB84"/>
        <color theme="6" tint="-0.249977111117893"/>
      </colorScale>
    </cfRule>
  </conditionalFormatting>
  <conditionalFormatting sqref="O6:O51">
    <cfRule type="expression" dxfId="39" priority="23">
      <formula>COUNTA(O6)&gt;0</formula>
    </cfRule>
    <cfRule type="colorScale" priority="24">
      <colorScale>
        <cfvo type="num" val="0"/>
        <cfvo type="num" val="($O$4)/2"/>
        <cfvo type="num" val="$O$4"/>
        <color rgb="FFEA4C4C"/>
        <color rgb="FFFFEB84"/>
        <color theme="6" tint="-0.249977111117893"/>
      </colorScale>
    </cfRule>
  </conditionalFormatting>
  <conditionalFormatting sqref="P6:P51">
    <cfRule type="expression" dxfId="38" priority="21">
      <formula>COUNTA(P6)&gt;0</formula>
    </cfRule>
    <cfRule type="colorScale" priority="22">
      <colorScale>
        <cfvo type="num" val="0"/>
        <cfvo type="num" val="($P$4)/2"/>
        <cfvo type="num" val="$P$4"/>
        <color rgb="FFEA4C4C"/>
        <color rgb="FFFFEB84"/>
        <color theme="6" tint="-0.249977111117893"/>
      </colorScale>
    </cfRule>
  </conditionalFormatting>
  <conditionalFormatting sqref="Q6:Q51">
    <cfRule type="expression" dxfId="37" priority="19">
      <formula>COUNTA(Q6)&gt;0</formula>
    </cfRule>
    <cfRule type="colorScale" priority="20">
      <colorScale>
        <cfvo type="num" val="0"/>
        <cfvo type="num" val="($Q$4)/2"/>
        <cfvo type="num" val="$Q$4"/>
        <color rgb="FFEA4C4C"/>
        <color rgb="FFFFEB84"/>
        <color theme="6" tint="-0.249977111117893"/>
      </colorScale>
    </cfRule>
  </conditionalFormatting>
  <conditionalFormatting sqref="W6:W51">
    <cfRule type="colorScale" priority="5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36" priority="6">
      <formula>ISNUMBER(W6)</formula>
    </cfRule>
  </conditionalFormatting>
  <conditionalFormatting sqref="V6:V51">
    <cfRule type="colorScale" priority="3">
      <colorScale>
        <cfvo type="num" val="0"/>
        <cfvo type="num" val="$V$4/2"/>
        <cfvo type="num" val="$V$4"/>
        <color rgb="FFEA4C4C"/>
        <color rgb="FFFFEB84"/>
        <color theme="6" tint="-0.249977111117893"/>
      </colorScale>
    </cfRule>
    <cfRule type="expression" dxfId="35" priority="4">
      <formula>ISNUMBER(V6)</formula>
    </cfRule>
  </conditionalFormatting>
  <printOptions horizontalCentered="1"/>
  <pageMargins left="0.61" right="0.56000000000000005" top="1.5" bottom="1" header="0.5" footer="0.5"/>
  <pageSetup orientation="landscape" r:id="rId1"/>
  <headerFooter alignWithMargins="0">
    <oddHeader>&amp;C&amp;"Times New Roman,Bold"&amp;12Mathematics
Skills Analysis Sheet for Addition, Subtraction, and the Number System
Grade 1, &amp;A</oddHeader>
    <oddFooter>&amp;L&amp;"Times New Roman"&amp;8Grade 2, &amp;A
Time, Data, and Graphs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9" stopIfTrue="1" id="{F0A006C8-E085-4309-AD1F-4079A3E5B80E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51"/>
  <sheetViews>
    <sheetView showGridLines="0" zoomScaleNormal="100" workbookViewId="0">
      <selection activeCell="B6" sqref="B6"/>
    </sheetView>
  </sheetViews>
  <sheetFormatPr defaultColWidth="9.140625" defaultRowHeight="15.75" x14ac:dyDescent="0.25"/>
  <cols>
    <col min="1" max="1" width="22.140625" style="127" customWidth="1"/>
    <col min="2" max="2" width="3.85546875" style="127" customWidth="1"/>
    <col min="3" max="3" width="3.28515625" style="127" customWidth="1"/>
    <col min="4" max="4" width="5.7109375" style="127" customWidth="1"/>
    <col min="5" max="5" width="3.140625" style="127" customWidth="1"/>
    <col min="6" max="6" width="9.140625" style="127" customWidth="1"/>
    <col min="7" max="7" width="9" style="127" customWidth="1"/>
    <col min="8" max="8" width="4.28515625" style="127" customWidth="1"/>
    <col min="9" max="10" width="4.42578125" style="127" customWidth="1"/>
    <col min="11" max="11" width="5" style="127" customWidth="1"/>
    <col min="12" max="12" width="5.7109375" style="127" customWidth="1"/>
    <col min="13" max="13" width="5.85546875" style="127" customWidth="1"/>
    <col min="14" max="14" width="11" style="127" customWidth="1"/>
    <col min="15" max="15" width="4.28515625" style="127" customWidth="1"/>
    <col min="16" max="16" width="6.7109375" style="209" customWidth="1"/>
    <col min="17" max="17" width="10.42578125" style="158" bestFit="1" customWidth="1"/>
    <col min="18" max="18" width="9.140625" style="157"/>
    <col min="19" max="16384" width="9.140625" style="127"/>
  </cols>
  <sheetData>
    <row r="1" spans="1:18" s="183" customFormat="1" ht="76.5" customHeight="1" x14ac:dyDescent="0.2">
      <c r="A1" s="113" t="str">
        <f>IF(Info!B1&lt;&gt;0,Info!B1,"Please fill out info sheet")</f>
        <v>Ms. Johnston</v>
      </c>
      <c r="B1" s="114" t="s">
        <v>41</v>
      </c>
      <c r="C1" s="114"/>
      <c r="D1" s="152" t="s">
        <v>13</v>
      </c>
      <c r="E1" s="200" t="s">
        <v>62</v>
      </c>
      <c r="F1" s="201"/>
      <c r="G1" s="201"/>
      <c r="H1" s="204"/>
      <c r="I1" s="205" t="s">
        <v>37</v>
      </c>
      <c r="J1" s="206"/>
      <c r="K1" s="206"/>
      <c r="L1" s="206"/>
      <c r="M1" s="207">
        <f>IF(COUNTA(class_list)&lt;&gt;0,(COUNTIF(UNIT_9_scores,"&gt;=.845"))/COUNTA(class_list), "N/A")</f>
        <v>0</v>
      </c>
      <c r="N1" s="208"/>
    </row>
    <row r="2" spans="1:18" s="157" customFormat="1" ht="69.75" customHeight="1" x14ac:dyDescent="0.25">
      <c r="A2" s="138" t="s">
        <v>1</v>
      </c>
      <c r="B2" s="173" t="s">
        <v>58</v>
      </c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39" t="s">
        <v>31</v>
      </c>
      <c r="N2" s="140"/>
    </row>
    <row r="3" spans="1:18" ht="14.25" customHeight="1" x14ac:dyDescent="0.25">
      <c r="A3" s="141" t="s">
        <v>2</v>
      </c>
      <c r="B3" s="142">
        <v>1</v>
      </c>
      <c r="C3" s="142">
        <v>2</v>
      </c>
      <c r="D3" s="142">
        <v>3</v>
      </c>
      <c r="E3" s="142">
        <v>4</v>
      </c>
      <c r="F3" s="142">
        <v>5</v>
      </c>
      <c r="G3" s="142">
        <v>6</v>
      </c>
      <c r="H3" s="142">
        <v>7</v>
      </c>
      <c r="I3" s="142">
        <v>8</v>
      </c>
      <c r="J3" s="142">
        <v>9</v>
      </c>
      <c r="K3" s="142">
        <v>10</v>
      </c>
      <c r="L3" s="142">
        <v>11</v>
      </c>
      <c r="M3" s="142" t="s">
        <v>4</v>
      </c>
      <c r="N3" s="142" t="s">
        <v>17</v>
      </c>
      <c r="P3" s="127"/>
      <c r="Q3" s="127"/>
      <c r="R3" s="127"/>
    </row>
    <row r="4" spans="1:18" ht="14.25" customHeight="1" x14ac:dyDescent="0.25">
      <c r="A4" s="141" t="s">
        <v>3</v>
      </c>
      <c r="B4" s="188">
        <v>1</v>
      </c>
      <c r="C4" s="188">
        <v>1</v>
      </c>
      <c r="D4" s="188">
        <v>1</v>
      </c>
      <c r="E4" s="188">
        <v>1</v>
      </c>
      <c r="F4" s="188">
        <v>2</v>
      </c>
      <c r="G4" s="188">
        <v>1</v>
      </c>
      <c r="H4" s="188">
        <v>1</v>
      </c>
      <c r="I4" s="188">
        <v>1</v>
      </c>
      <c r="J4" s="188">
        <v>1</v>
      </c>
      <c r="K4" s="188">
        <v>1</v>
      </c>
      <c r="L4" s="188">
        <v>2</v>
      </c>
      <c r="M4" s="142">
        <f>SUM(B4:L4)</f>
        <v>13</v>
      </c>
      <c r="N4" s="142"/>
      <c r="P4" s="127"/>
      <c r="Q4" s="127"/>
      <c r="R4" s="127"/>
    </row>
    <row r="5" spans="1:18" x14ac:dyDescent="0.25">
      <c r="A5" s="122" t="s">
        <v>0</v>
      </c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P5" s="127"/>
      <c r="Q5" s="127"/>
      <c r="R5" s="127"/>
    </row>
    <row r="6" spans="1:18" x14ac:dyDescent="0.25">
      <c r="A6" s="123" t="str">
        <f>(IF(Info!$B3&lt;&gt;"",Info!$B3,""))</f>
        <v>Cal Ripkin</v>
      </c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5" t="str">
        <f t="shared" ref="M6:M51" si="0">IF(COUNTA(B6:L6)=0,"",SUM(B6:L6))</f>
        <v/>
      </c>
      <c r="N6" s="126" t="str">
        <f t="shared" ref="N6:N51" si="1">IF(COUNTA(B6:L6)=0,"",SUM(B6:L6)/$M$4)</f>
        <v/>
      </c>
      <c r="P6" s="127"/>
      <c r="Q6" s="127"/>
      <c r="R6" s="127"/>
    </row>
    <row r="7" spans="1:18" x14ac:dyDescent="0.25">
      <c r="A7" s="123" t="str">
        <f>(IF(Info!$B4&lt;&gt;"",Info!$B4,""))</f>
        <v>Brooks Robinson</v>
      </c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5" t="str">
        <f t="shared" si="0"/>
        <v/>
      </c>
      <c r="N7" s="126" t="str">
        <f t="shared" si="1"/>
        <v/>
      </c>
      <c r="P7" s="127"/>
      <c r="Q7" s="127"/>
      <c r="R7" s="127"/>
    </row>
    <row r="8" spans="1:18" x14ac:dyDescent="0.25">
      <c r="A8" s="123" t="str">
        <f>(IF(Info!$B5&lt;&gt;"",Info!$B5,""))</f>
        <v>Frank Robinson</v>
      </c>
      <c r="B8" s="124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5" t="str">
        <f t="shared" si="0"/>
        <v/>
      </c>
      <c r="N8" s="126" t="str">
        <f t="shared" si="1"/>
        <v/>
      </c>
      <c r="P8" s="127"/>
      <c r="Q8" s="127"/>
      <c r="R8" s="127"/>
    </row>
    <row r="9" spans="1:18" x14ac:dyDescent="0.25">
      <c r="A9" s="123" t="str">
        <f>(IF(Info!$B6&lt;&gt;"",Info!$B6,""))</f>
        <v>Jim Palmer</v>
      </c>
      <c r="B9" s="124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5" t="str">
        <f t="shared" si="0"/>
        <v/>
      </c>
      <c r="N9" s="126" t="str">
        <f t="shared" si="1"/>
        <v/>
      </c>
      <c r="P9" s="127"/>
      <c r="Q9" s="127"/>
      <c r="R9" s="127"/>
    </row>
    <row r="10" spans="1:18" x14ac:dyDescent="0.25">
      <c r="A10" s="123" t="str">
        <f>(IF(Info!$B7&lt;&gt;"",Info!$B7,""))</f>
        <v>Eddie Murray</v>
      </c>
      <c r="B10" s="124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5" t="str">
        <f t="shared" si="0"/>
        <v/>
      </c>
      <c r="N10" s="126" t="str">
        <f t="shared" si="1"/>
        <v/>
      </c>
      <c r="P10" s="127"/>
      <c r="Q10" s="127"/>
      <c r="R10" s="127"/>
    </row>
    <row r="11" spans="1:18" x14ac:dyDescent="0.25">
      <c r="A11" s="123" t="str">
        <f>(IF(Info!$B8&lt;&gt;"",Info!$B8,""))</f>
        <v>Manny Machado</v>
      </c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5" t="str">
        <f t="shared" si="0"/>
        <v/>
      </c>
      <c r="N11" s="126" t="str">
        <f t="shared" si="1"/>
        <v/>
      </c>
      <c r="P11" s="127"/>
      <c r="Q11" s="127"/>
      <c r="R11" s="127"/>
    </row>
    <row r="12" spans="1:18" x14ac:dyDescent="0.25">
      <c r="A12" s="123" t="str">
        <f>(IF(Info!$B9&lt;&gt;"",Info!$B9,""))</f>
        <v>Boog Powell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5" t="str">
        <f t="shared" si="0"/>
        <v/>
      </c>
      <c r="N12" s="126" t="str">
        <f t="shared" si="1"/>
        <v/>
      </c>
      <c r="P12" s="127"/>
      <c r="Q12" s="127"/>
      <c r="R12" s="127"/>
    </row>
    <row r="13" spans="1:18" x14ac:dyDescent="0.25">
      <c r="A13" s="123" t="str">
        <f>(IF(Info!$B10&lt;&gt;"",Info!$B10,""))</f>
        <v>Brady Anderson</v>
      </c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5" t="str">
        <f t="shared" si="0"/>
        <v/>
      </c>
      <c r="N13" s="126" t="str">
        <f t="shared" si="1"/>
        <v/>
      </c>
      <c r="P13" s="127"/>
      <c r="Q13" s="127"/>
      <c r="R13" s="127"/>
    </row>
    <row r="14" spans="1:18" x14ac:dyDescent="0.25">
      <c r="A14" s="123" t="str">
        <f>(IF(Info!$B11&lt;&gt;"",Info!$B11,""))</f>
        <v>Rafael Palmero</v>
      </c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5" t="str">
        <f t="shared" si="0"/>
        <v/>
      </c>
      <c r="N14" s="126" t="str">
        <f t="shared" si="1"/>
        <v/>
      </c>
      <c r="P14" s="127"/>
      <c r="Q14" s="127"/>
      <c r="R14" s="127"/>
    </row>
    <row r="15" spans="1:18" x14ac:dyDescent="0.25">
      <c r="A15" s="123" t="str">
        <f>(IF(Info!$B12&lt;&gt;"",Info!$B12,""))</f>
        <v>Melvin Mora</v>
      </c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5" t="str">
        <f t="shared" si="0"/>
        <v/>
      </c>
      <c r="N15" s="126" t="str">
        <f t="shared" si="1"/>
        <v/>
      </c>
      <c r="P15" s="127"/>
      <c r="Q15" s="127"/>
      <c r="R15" s="127"/>
    </row>
    <row r="16" spans="1:18" x14ac:dyDescent="0.25">
      <c r="A16" s="123" t="str">
        <f>(IF(Info!$B13&lt;&gt;"",Info!$B13,""))</f>
        <v>Dave McNally</v>
      </c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5" t="str">
        <f t="shared" si="0"/>
        <v/>
      </c>
      <c r="N16" s="126" t="str">
        <f t="shared" si="1"/>
        <v/>
      </c>
      <c r="P16" s="127"/>
      <c r="Q16" s="127"/>
      <c r="R16" s="127"/>
    </row>
    <row r="17" spans="1:18" x14ac:dyDescent="0.25">
      <c r="A17" s="123" t="str">
        <f>(IF(Info!$B14&lt;&gt;"",Info!$B14,""))</f>
        <v>Ken Singleton</v>
      </c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5" t="str">
        <f t="shared" si="0"/>
        <v/>
      </c>
      <c r="N17" s="126" t="str">
        <f t="shared" si="1"/>
        <v/>
      </c>
      <c r="P17" s="127"/>
      <c r="Q17" s="127"/>
      <c r="R17" s="127"/>
    </row>
    <row r="18" spans="1:18" x14ac:dyDescent="0.25">
      <c r="A18" s="123" t="str">
        <f>(IF(Info!$B15&lt;&gt;"",Info!$B15,""))</f>
        <v>Jonathan Schoop</v>
      </c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5" t="str">
        <f t="shared" si="0"/>
        <v/>
      </c>
      <c r="N18" s="126" t="str">
        <f t="shared" si="1"/>
        <v/>
      </c>
      <c r="P18" s="127"/>
      <c r="Q18" s="127"/>
      <c r="R18" s="127"/>
    </row>
    <row r="19" spans="1:18" x14ac:dyDescent="0.25">
      <c r="A19" s="123" t="str">
        <f>(IF(Info!$B16&lt;&gt;"",Info!$B16,""))</f>
        <v>Paul Blair</v>
      </c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5" t="str">
        <f t="shared" si="0"/>
        <v/>
      </c>
      <c r="N19" s="126" t="str">
        <f t="shared" si="1"/>
        <v/>
      </c>
      <c r="P19" s="127"/>
      <c r="Q19" s="127"/>
      <c r="R19" s="127"/>
    </row>
    <row r="20" spans="1:18" x14ac:dyDescent="0.25">
      <c r="A20" s="123" t="str">
        <f>(IF(Info!$B17&lt;&gt;"",Info!$B17,""))</f>
        <v>Mark Belanger</v>
      </c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5" t="str">
        <f t="shared" si="0"/>
        <v/>
      </c>
      <c r="N20" s="126" t="str">
        <f t="shared" si="1"/>
        <v/>
      </c>
      <c r="P20" s="127"/>
      <c r="Q20" s="127"/>
      <c r="R20" s="127"/>
    </row>
    <row r="21" spans="1:18" x14ac:dyDescent="0.25">
      <c r="A21" s="123" t="str">
        <f>(IF(Info!$B18&lt;&gt;"",Info!$B18,""))</f>
        <v>Davey Johnson</v>
      </c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5" t="str">
        <f t="shared" si="0"/>
        <v/>
      </c>
      <c r="N21" s="126" t="str">
        <f t="shared" si="1"/>
        <v/>
      </c>
      <c r="P21" s="127"/>
      <c r="Q21" s="127"/>
      <c r="R21" s="127"/>
    </row>
    <row r="22" spans="1:18" x14ac:dyDescent="0.25">
      <c r="A22" s="123" t="str">
        <f>(IF(Info!$B19&lt;&gt;"",Info!$B19,""))</f>
        <v>Miguel Tejada</v>
      </c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5" t="str">
        <f t="shared" si="0"/>
        <v/>
      </c>
      <c r="N22" s="126" t="str">
        <f t="shared" si="1"/>
        <v/>
      </c>
      <c r="P22" s="127"/>
      <c r="Q22" s="127"/>
      <c r="R22" s="127"/>
    </row>
    <row r="23" spans="1:18" x14ac:dyDescent="0.25">
      <c r="A23" s="123" t="str">
        <f>(IF(Info!$B20&lt;&gt;"",Info!$B20,""))</f>
        <v>Adam Jones</v>
      </c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5" t="str">
        <f t="shared" si="0"/>
        <v/>
      </c>
      <c r="N23" s="126" t="str">
        <f t="shared" si="1"/>
        <v/>
      </c>
      <c r="P23" s="127"/>
      <c r="Q23" s="127"/>
      <c r="R23" s="127"/>
    </row>
    <row r="24" spans="1:18" x14ac:dyDescent="0.25">
      <c r="A24" s="123" t="str">
        <f>(IF(Info!$B21&lt;&gt;"",Info!$B21,""))</f>
        <v/>
      </c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5" t="str">
        <f t="shared" si="0"/>
        <v/>
      </c>
      <c r="N24" s="126" t="str">
        <f t="shared" si="1"/>
        <v/>
      </c>
      <c r="P24" s="127"/>
      <c r="Q24" s="127"/>
      <c r="R24" s="127"/>
    </row>
    <row r="25" spans="1:18" x14ac:dyDescent="0.25">
      <c r="A25" s="123" t="str">
        <f>(IF(Info!$B22&lt;&gt;"",Info!$B22,""))</f>
        <v/>
      </c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5" t="str">
        <f t="shared" si="0"/>
        <v/>
      </c>
      <c r="N25" s="126" t="str">
        <f t="shared" si="1"/>
        <v/>
      </c>
      <c r="P25" s="127"/>
      <c r="Q25" s="127"/>
      <c r="R25" s="127"/>
    </row>
    <row r="26" spans="1:18" x14ac:dyDescent="0.25">
      <c r="A26" s="123" t="str">
        <f>(IF(Info!$B23&lt;&gt;"",Info!$B23,""))</f>
        <v/>
      </c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5" t="str">
        <f t="shared" si="0"/>
        <v/>
      </c>
      <c r="N26" s="126" t="str">
        <f t="shared" si="1"/>
        <v/>
      </c>
      <c r="P26" s="127"/>
      <c r="Q26" s="127"/>
      <c r="R26" s="127"/>
    </row>
    <row r="27" spans="1:18" x14ac:dyDescent="0.25">
      <c r="A27" s="123" t="str">
        <f>(IF(Info!$B24&lt;&gt;"",Info!$B24,""))</f>
        <v/>
      </c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5" t="str">
        <f t="shared" si="0"/>
        <v/>
      </c>
      <c r="N27" s="126" t="str">
        <f t="shared" si="1"/>
        <v/>
      </c>
      <c r="P27" s="127"/>
      <c r="Q27" s="127"/>
      <c r="R27" s="127"/>
    </row>
    <row r="28" spans="1:18" x14ac:dyDescent="0.25">
      <c r="A28" s="123" t="str">
        <f>(IF(Info!$B25&lt;&gt;"",Info!$B25,""))</f>
        <v/>
      </c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5" t="str">
        <f t="shared" si="0"/>
        <v/>
      </c>
      <c r="N28" s="126" t="str">
        <f t="shared" si="1"/>
        <v/>
      </c>
      <c r="P28" s="127"/>
      <c r="Q28" s="127"/>
      <c r="R28" s="127"/>
    </row>
    <row r="29" spans="1:18" x14ac:dyDescent="0.25">
      <c r="A29" s="123" t="str">
        <f>(IF(Info!$B26&lt;&gt;"",Info!$B26,""))</f>
        <v/>
      </c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5" t="str">
        <f t="shared" si="0"/>
        <v/>
      </c>
      <c r="N29" s="126" t="str">
        <f t="shared" si="1"/>
        <v/>
      </c>
      <c r="P29" s="127"/>
      <c r="Q29" s="127"/>
      <c r="R29" s="127"/>
    </row>
    <row r="30" spans="1:18" x14ac:dyDescent="0.25">
      <c r="A30" s="123" t="str">
        <f>(IF(Info!$B27&lt;&gt;"",Info!$B27,""))</f>
        <v/>
      </c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5" t="str">
        <f t="shared" si="0"/>
        <v/>
      </c>
      <c r="N30" s="126" t="str">
        <f t="shared" si="1"/>
        <v/>
      </c>
      <c r="P30" s="127"/>
      <c r="Q30" s="127"/>
      <c r="R30" s="127"/>
    </row>
    <row r="31" spans="1:18" x14ac:dyDescent="0.25">
      <c r="A31" s="123" t="str">
        <f>(IF(Info!$B28&lt;&gt;"",Info!$B28,""))</f>
        <v/>
      </c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5" t="str">
        <f t="shared" si="0"/>
        <v/>
      </c>
      <c r="N31" s="126" t="str">
        <f t="shared" si="1"/>
        <v/>
      </c>
      <c r="P31" s="127"/>
      <c r="Q31" s="127"/>
      <c r="R31" s="127"/>
    </row>
    <row r="32" spans="1:18" x14ac:dyDescent="0.25">
      <c r="A32" s="123" t="str">
        <f>(IF(Info!$B29&lt;&gt;"",Info!$B29,""))</f>
        <v/>
      </c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5" t="str">
        <f t="shared" si="0"/>
        <v/>
      </c>
      <c r="N32" s="126" t="str">
        <f t="shared" si="1"/>
        <v/>
      </c>
      <c r="P32" s="127"/>
      <c r="Q32" s="127"/>
      <c r="R32" s="127"/>
    </row>
    <row r="33" spans="1:18" x14ac:dyDescent="0.25">
      <c r="A33" s="123" t="str">
        <f>(IF(Info!$B30&lt;&gt;"",Info!$B30,""))</f>
        <v/>
      </c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5" t="str">
        <f t="shared" si="0"/>
        <v/>
      </c>
      <c r="N33" s="126" t="str">
        <f t="shared" si="1"/>
        <v/>
      </c>
      <c r="P33" s="127"/>
      <c r="Q33" s="127"/>
      <c r="R33" s="127"/>
    </row>
    <row r="34" spans="1:18" x14ac:dyDescent="0.25">
      <c r="A34" s="123" t="str">
        <f>(IF(Info!$B31&lt;&gt;"",Info!$B31,""))</f>
        <v/>
      </c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5" t="str">
        <f t="shared" si="0"/>
        <v/>
      </c>
      <c r="N34" s="126" t="str">
        <f t="shared" si="1"/>
        <v/>
      </c>
      <c r="P34" s="127"/>
      <c r="Q34" s="127"/>
      <c r="R34" s="127"/>
    </row>
    <row r="35" spans="1:18" x14ac:dyDescent="0.25">
      <c r="A35" s="123" t="str">
        <f>(IF(Info!$B32&lt;&gt;"",Info!$B32,""))</f>
        <v/>
      </c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5" t="str">
        <f t="shared" si="0"/>
        <v/>
      </c>
      <c r="N35" s="126" t="str">
        <f t="shared" si="1"/>
        <v/>
      </c>
      <c r="P35" s="127"/>
      <c r="Q35" s="127"/>
      <c r="R35" s="127"/>
    </row>
    <row r="36" spans="1:18" x14ac:dyDescent="0.25">
      <c r="A36" s="123" t="str">
        <f>(IF(Info!$B33&lt;&gt;"",Info!$B33,""))</f>
        <v/>
      </c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5" t="str">
        <f t="shared" si="0"/>
        <v/>
      </c>
      <c r="N36" s="126" t="str">
        <f t="shared" si="1"/>
        <v/>
      </c>
      <c r="P36" s="127"/>
      <c r="Q36" s="127"/>
      <c r="R36" s="127"/>
    </row>
    <row r="37" spans="1:18" x14ac:dyDescent="0.25">
      <c r="A37" s="123" t="str">
        <f>(IF(Info!$B34&lt;&gt;"",Info!$B34,""))</f>
        <v/>
      </c>
      <c r="B37" s="124"/>
      <c r="C37" s="124"/>
      <c r="D37" s="124"/>
      <c r="E37" s="124"/>
      <c r="F37" s="124"/>
      <c r="G37" s="124"/>
      <c r="H37" s="124"/>
      <c r="I37" s="124"/>
      <c r="J37" s="124"/>
      <c r="K37" s="124"/>
      <c r="L37" s="124"/>
      <c r="M37" s="125" t="str">
        <f t="shared" si="0"/>
        <v/>
      </c>
      <c r="N37" s="126" t="str">
        <f t="shared" si="1"/>
        <v/>
      </c>
      <c r="P37" s="127"/>
      <c r="Q37" s="127"/>
      <c r="R37" s="127"/>
    </row>
    <row r="38" spans="1:18" x14ac:dyDescent="0.25">
      <c r="A38" s="123" t="str">
        <f>(IF(Info!$B35&lt;&gt;"",Info!$B35,""))</f>
        <v/>
      </c>
      <c r="B38" s="124"/>
      <c r="C38" s="124"/>
      <c r="D38" s="124"/>
      <c r="E38" s="124"/>
      <c r="F38" s="124"/>
      <c r="G38" s="124"/>
      <c r="H38" s="124"/>
      <c r="I38" s="124"/>
      <c r="J38" s="124"/>
      <c r="K38" s="124"/>
      <c r="L38" s="124"/>
      <c r="M38" s="125" t="str">
        <f t="shared" si="0"/>
        <v/>
      </c>
      <c r="N38" s="126" t="str">
        <f t="shared" si="1"/>
        <v/>
      </c>
      <c r="P38" s="127"/>
      <c r="Q38" s="127"/>
      <c r="R38" s="127"/>
    </row>
    <row r="39" spans="1:18" x14ac:dyDescent="0.25">
      <c r="A39" s="123" t="str">
        <f>(IF(Info!$B36&lt;&gt;"",Info!$B36,""))</f>
        <v/>
      </c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5" t="str">
        <f t="shared" si="0"/>
        <v/>
      </c>
      <c r="N39" s="126" t="str">
        <f t="shared" si="1"/>
        <v/>
      </c>
      <c r="P39" s="127"/>
      <c r="Q39" s="127"/>
      <c r="R39" s="127"/>
    </row>
    <row r="40" spans="1:18" x14ac:dyDescent="0.25">
      <c r="A40" s="123" t="str">
        <f>(IF(Info!$B37&lt;&gt;"",Info!$B37,""))</f>
        <v/>
      </c>
      <c r="B40" s="124"/>
      <c r="C40" s="124"/>
      <c r="D40" s="124"/>
      <c r="E40" s="124"/>
      <c r="F40" s="124"/>
      <c r="G40" s="124"/>
      <c r="H40" s="124"/>
      <c r="I40" s="124"/>
      <c r="J40" s="124"/>
      <c r="K40" s="124"/>
      <c r="L40" s="124"/>
      <c r="M40" s="125" t="str">
        <f t="shared" si="0"/>
        <v/>
      </c>
      <c r="N40" s="126" t="str">
        <f t="shared" si="1"/>
        <v/>
      </c>
      <c r="P40" s="127"/>
      <c r="Q40" s="127"/>
      <c r="R40" s="127"/>
    </row>
    <row r="41" spans="1:18" x14ac:dyDescent="0.25">
      <c r="A41" s="123" t="str">
        <f>(IF(Info!$B38&lt;&gt;"",Info!$B38,""))</f>
        <v/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5" t="str">
        <f t="shared" si="0"/>
        <v/>
      </c>
      <c r="N41" s="126" t="str">
        <f t="shared" si="1"/>
        <v/>
      </c>
      <c r="P41" s="127"/>
      <c r="Q41" s="127"/>
      <c r="R41" s="127"/>
    </row>
    <row r="42" spans="1:18" x14ac:dyDescent="0.25">
      <c r="A42" s="123" t="str">
        <f>(IF(Info!$B39&lt;&gt;"",Info!$B39,""))</f>
        <v/>
      </c>
      <c r="B42" s="124"/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5" t="str">
        <f t="shared" si="0"/>
        <v/>
      </c>
      <c r="N42" s="126" t="str">
        <f t="shared" si="1"/>
        <v/>
      </c>
      <c r="P42" s="127"/>
      <c r="Q42" s="127"/>
      <c r="R42" s="127"/>
    </row>
    <row r="43" spans="1:18" x14ac:dyDescent="0.25">
      <c r="A43" s="123" t="str">
        <f>(IF(Info!$B40&lt;&gt;"",Info!$B40,""))</f>
        <v/>
      </c>
      <c r="B43" s="124"/>
      <c r="C43" s="124"/>
      <c r="D43" s="124"/>
      <c r="E43" s="124"/>
      <c r="F43" s="124"/>
      <c r="G43" s="124"/>
      <c r="H43" s="124"/>
      <c r="I43" s="124"/>
      <c r="J43" s="124"/>
      <c r="K43" s="124"/>
      <c r="L43" s="124"/>
      <c r="M43" s="125" t="str">
        <f t="shared" si="0"/>
        <v/>
      </c>
      <c r="N43" s="126" t="str">
        <f t="shared" si="1"/>
        <v/>
      </c>
    </row>
    <row r="44" spans="1:18" x14ac:dyDescent="0.25">
      <c r="A44" s="123" t="str">
        <f>(IF(Info!$B41&lt;&gt;"",Info!$B41,""))</f>
        <v/>
      </c>
      <c r="B44" s="124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5" t="str">
        <f t="shared" si="0"/>
        <v/>
      </c>
      <c r="N44" s="126" t="str">
        <f t="shared" si="1"/>
        <v/>
      </c>
    </row>
    <row r="45" spans="1:18" x14ac:dyDescent="0.25">
      <c r="A45" s="123" t="str">
        <f>(IF(Info!$B42&lt;&gt;"",Info!$B42,""))</f>
        <v/>
      </c>
      <c r="B45" s="124"/>
      <c r="C45" s="124"/>
      <c r="D45" s="124"/>
      <c r="E45" s="124"/>
      <c r="F45" s="124"/>
      <c r="G45" s="124"/>
      <c r="H45" s="124"/>
      <c r="I45" s="124"/>
      <c r="J45" s="124"/>
      <c r="K45" s="124"/>
      <c r="L45" s="124"/>
      <c r="M45" s="125" t="str">
        <f t="shared" si="0"/>
        <v/>
      </c>
      <c r="N45" s="126" t="str">
        <f t="shared" si="1"/>
        <v/>
      </c>
    </row>
    <row r="46" spans="1:18" x14ac:dyDescent="0.25">
      <c r="A46" s="123" t="str">
        <f>(IF(Info!$B43&lt;&gt;"",Info!$B43,""))</f>
        <v/>
      </c>
      <c r="B46" s="124"/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5" t="str">
        <f t="shared" si="0"/>
        <v/>
      </c>
      <c r="N46" s="126" t="str">
        <f t="shared" si="1"/>
        <v/>
      </c>
    </row>
    <row r="47" spans="1:18" x14ac:dyDescent="0.25">
      <c r="A47" s="123" t="str">
        <f>(IF(Info!$B44&lt;&gt;"",Info!$B44,""))</f>
        <v/>
      </c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5" t="str">
        <f t="shared" si="0"/>
        <v/>
      </c>
      <c r="N47" s="126" t="str">
        <f t="shared" si="1"/>
        <v/>
      </c>
    </row>
    <row r="48" spans="1:18" x14ac:dyDescent="0.25">
      <c r="A48" s="123" t="str">
        <f>(IF(Info!$B45&lt;&gt;"",Info!$B45,""))</f>
        <v/>
      </c>
      <c r="B48" s="124"/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5" t="str">
        <f t="shared" si="0"/>
        <v/>
      </c>
      <c r="N48" s="126" t="str">
        <f t="shared" si="1"/>
        <v/>
      </c>
    </row>
    <row r="49" spans="1:14" x14ac:dyDescent="0.25">
      <c r="A49" s="123" t="str">
        <f>(IF(Info!$B46&lt;&gt;"",Info!$B46,""))</f>
        <v/>
      </c>
      <c r="B49" s="124"/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5" t="str">
        <f t="shared" si="0"/>
        <v/>
      </c>
      <c r="N49" s="126" t="str">
        <f t="shared" si="1"/>
        <v/>
      </c>
    </row>
    <row r="50" spans="1:14" x14ac:dyDescent="0.25">
      <c r="A50" s="123" t="str">
        <f>(IF(Info!$B47&lt;&gt;"",Info!$B47,""))</f>
        <v/>
      </c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5" t="str">
        <f t="shared" si="0"/>
        <v/>
      </c>
      <c r="N50" s="126" t="str">
        <f t="shared" si="1"/>
        <v/>
      </c>
    </row>
    <row r="51" spans="1:14" x14ac:dyDescent="0.25">
      <c r="A51" s="123" t="str">
        <f>(IF(Info!$B48&lt;&gt;"",Info!$B48,""))</f>
        <v/>
      </c>
      <c r="B51" s="124"/>
      <c r="C51" s="124"/>
      <c r="D51" s="124"/>
      <c r="E51" s="124"/>
      <c r="F51" s="124"/>
      <c r="G51" s="124"/>
      <c r="H51" s="124"/>
      <c r="I51" s="124"/>
      <c r="J51" s="124"/>
      <c r="K51" s="124"/>
      <c r="L51" s="124"/>
      <c r="M51" s="125" t="str">
        <f t="shared" si="0"/>
        <v/>
      </c>
      <c r="N51" s="126" t="str">
        <f t="shared" si="1"/>
        <v/>
      </c>
    </row>
  </sheetData>
  <sheetProtection selectLockedCells="1"/>
  <mergeCells count="6">
    <mergeCell ref="M2:N2"/>
    <mergeCell ref="B1:C1"/>
    <mergeCell ref="E1:H1"/>
    <mergeCell ref="M1:N1"/>
    <mergeCell ref="I1:L1"/>
    <mergeCell ref="B2:L2"/>
  </mergeCells>
  <phoneticPr fontId="1" type="noConversion"/>
  <conditionalFormatting sqref="M1">
    <cfRule type="cellIs" dxfId="33" priority="454" stopIfTrue="1" operator="greaterThanOrEqual">
      <formula>0.85</formula>
    </cfRule>
    <cfRule type="cellIs" dxfId="32" priority="456" stopIfTrue="1" operator="lessThan">
      <formula>0.85</formula>
    </cfRule>
  </conditionalFormatting>
  <conditionalFormatting sqref="B6:B51">
    <cfRule type="expression" dxfId="31" priority="13">
      <formula>COUNTA(B6)&gt;0</formula>
    </cfRule>
    <cfRule type="colorScale" priority="14">
      <colorScale>
        <cfvo type="num" val="0"/>
        <cfvo type="num" val="($B$4)/2"/>
        <cfvo type="num" val="$B$4"/>
        <color rgb="FFEA4C4C"/>
        <color rgb="FFFFEB84"/>
        <color theme="6" tint="-0.249977111117893"/>
      </colorScale>
    </cfRule>
  </conditionalFormatting>
  <conditionalFormatting sqref="C6:C51">
    <cfRule type="expression" dxfId="30" priority="11">
      <formula>COUNTA(C6)&gt;0</formula>
    </cfRule>
    <cfRule type="colorScale" priority="12">
      <colorScale>
        <cfvo type="num" val="0"/>
        <cfvo type="num" val="($C$4)/2"/>
        <cfvo type="num" val="$C$4"/>
        <color rgb="FFEA4C4C"/>
        <color rgb="FFFFEB84"/>
        <color theme="6" tint="-0.249977111117893"/>
      </colorScale>
    </cfRule>
  </conditionalFormatting>
  <conditionalFormatting sqref="E6:E51">
    <cfRule type="expression" dxfId="29" priority="9">
      <formula>COUNTA(E6)&gt;0</formula>
    </cfRule>
    <cfRule type="colorScale" priority="10">
      <colorScale>
        <cfvo type="num" val="0"/>
        <cfvo type="num" val="($E$4)/2"/>
        <cfvo type="num" val="$E$4"/>
        <color rgb="FFEA4C4C"/>
        <color rgb="FFFFEB84"/>
        <color theme="6" tint="-0.249977111117893"/>
      </colorScale>
    </cfRule>
  </conditionalFormatting>
  <conditionalFormatting sqref="D6:D51">
    <cfRule type="expression" dxfId="28" priority="7">
      <formula>COUNTA(D6)&gt;0</formula>
    </cfRule>
    <cfRule type="colorScale" priority="8">
      <colorScale>
        <cfvo type="num" val="0"/>
        <cfvo type="num" val="($D$4)/2"/>
        <cfvo type="num" val="$D$4"/>
        <color rgb="FFEA4C4C"/>
        <color rgb="FFFFEB84"/>
        <color theme="6" tint="-0.249977111117893"/>
      </colorScale>
    </cfRule>
  </conditionalFormatting>
  <conditionalFormatting sqref="F6:F51">
    <cfRule type="expression" dxfId="27" priority="5">
      <formula>COUNTA(F6)&gt;0</formula>
    </cfRule>
    <cfRule type="colorScale" priority="6">
      <colorScale>
        <cfvo type="num" val="0"/>
        <cfvo type="num" val="($F$4)/2"/>
        <cfvo type="num" val="$F$4"/>
        <color rgb="FFEA4C4C"/>
        <color rgb="FFFFEB84"/>
        <color theme="6" tint="-0.249977111117893"/>
      </colorScale>
    </cfRule>
  </conditionalFormatting>
  <conditionalFormatting sqref="G6:G51">
    <cfRule type="expression" dxfId="26" priority="25">
      <formula>COUNTA(G6)&gt;0</formula>
    </cfRule>
    <cfRule type="colorScale" priority="26">
      <colorScale>
        <cfvo type="num" val="0"/>
        <cfvo type="num" val="($G$4)/2"/>
        <cfvo type="num" val="$G$4"/>
        <color rgb="FFEA4C4C"/>
        <color rgb="FFFFEB84"/>
        <color theme="6" tint="-0.249977111117893"/>
      </colorScale>
    </cfRule>
  </conditionalFormatting>
  <conditionalFormatting sqref="H6:H51">
    <cfRule type="expression" dxfId="25" priority="23">
      <formula>COUNTA(H6)&gt;0</formula>
    </cfRule>
    <cfRule type="colorScale" priority="24">
      <colorScale>
        <cfvo type="num" val="0"/>
        <cfvo type="num" val="($H$4)/2"/>
        <cfvo type="num" val="$H$4"/>
        <color rgb="FFEA4C4C"/>
        <color rgb="FFFFEB84"/>
        <color theme="6" tint="-0.249977111117893"/>
      </colorScale>
    </cfRule>
  </conditionalFormatting>
  <conditionalFormatting sqref="I6:I51">
    <cfRule type="expression" dxfId="24" priority="21">
      <formula>COUNTA(I6)&gt;0</formula>
    </cfRule>
    <cfRule type="colorScale" priority="22">
      <colorScale>
        <cfvo type="num" val="0"/>
        <cfvo type="num" val="($I$4)/2"/>
        <cfvo type="num" val="$I$4"/>
        <color rgb="FFEA4C4C"/>
        <color rgb="FFFFEB84"/>
        <color theme="6" tint="-0.249977111117893"/>
      </colorScale>
    </cfRule>
  </conditionalFormatting>
  <conditionalFormatting sqref="J6:J51">
    <cfRule type="expression" dxfId="23" priority="19">
      <formula>COUNTA(J6)&gt;0</formula>
    </cfRule>
    <cfRule type="colorScale" priority="20">
      <colorScale>
        <cfvo type="num" val="0"/>
        <cfvo type="num" val="($J$4)/2"/>
        <cfvo type="num" val="$J$4"/>
        <color rgb="FFEA4C4C"/>
        <color rgb="FFFFEB84"/>
        <color theme="6" tint="-0.249977111117893"/>
      </colorScale>
    </cfRule>
  </conditionalFormatting>
  <conditionalFormatting sqref="K6:K51">
    <cfRule type="expression" dxfId="22" priority="17">
      <formula>COUNTA(K6)&gt;0</formula>
    </cfRule>
    <cfRule type="colorScale" priority="18">
      <colorScale>
        <cfvo type="num" val="0"/>
        <cfvo type="num" val="($K$4)/2"/>
        <cfvo type="num" val="$K$4"/>
        <color rgb="FFEA4C4C"/>
        <color rgb="FFFFEB84"/>
        <color theme="6" tint="-0.249977111117893"/>
      </colorScale>
    </cfRule>
  </conditionalFormatting>
  <conditionalFormatting sqref="L6:L51">
    <cfRule type="expression" dxfId="21" priority="15">
      <formula>COUNTA(L6)&gt;0</formula>
    </cfRule>
    <cfRule type="colorScale" priority="16">
      <colorScale>
        <cfvo type="num" val="0"/>
        <cfvo type="num" val="($L$4)/2"/>
        <cfvo type="num" val="$L$4"/>
        <color rgb="FFEA4C4C"/>
        <color rgb="FFFFEB84"/>
        <color theme="6" tint="-0.249977111117893"/>
      </colorScale>
    </cfRule>
  </conditionalFormatting>
  <conditionalFormatting sqref="N6:N51">
    <cfRule type="colorScale" priority="3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20" priority="4">
      <formula>ISNUMBER(N6)</formula>
    </cfRule>
  </conditionalFormatting>
  <conditionalFormatting sqref="M6:M51">
    <cfRule type="colorScale" priority="1">
      <colorScale>
        <cfvo type="num" val="0"/>
        <cfvo type="num" val="$M$4/2"/>
        <cfvo type="num" val="$M$4"/>
        <color rgb="FFEA4C4C"/>
        <color rgb="FFFFEB84"/>
        <color theme="6" tint="-0.249977111117893"/>
      </colorScale>
    </cfRule>
    <cfRule type="expression" dxfId="19" priority="2">
      <formula>ISNUMBER(M6)</formula>
    </cfRule>
  </conditionalFormatting>
  <pageMargins left="0.5" right="0.45" top="1.5" bottom="1" header="0.5" footer="0.5"/>
  <pageSetup orientation="landscape" r:id="rId1"/>
  <headerFooter alignWithMargins="0">
    <oddHeader>&amp;C&amp;"Times New Roman,Bold"&amp;12Mathematics
Skills Analysis Sheet for 3-D Geometry
Grade 1, &amp;A</oddHeader>
    <oddFooter>&amp;L&amp;"Times New Roman"&amp;8Grade 2, &amp;A
Measurement and Probability
FOR OPTIONAL USE&amp;C&amp;"Times New Roman"&amp;8Created by Anthony Schultz&amp;R&amp;"Times New Roman"&amp;8Baltimore County Public Schools
Office of Mathematics PreK-12
October 2011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1" stopIfTrue="1" id="{BB5E1B7A-8B35-4ACE-98C2-D21B5933F642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A6:A51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N21"/>
  <sheetViews>
    <sheetView showGridLines="0" zoomScale="130" zoomScaleNormal="130" zoomScalePageLayoutView="130" workbookViewId="0"/>
  </sheetViews>
  <sheetFormatPr defaultColWidth="9.140625" defaultRowHeight="12.75" x14ac:dyDescent="0.2"/>
  <cols>
    <col min="1" max="1" width="9" style="2" bestFit="1" customWidth="1"/>
    <col min="2" max="2" width="12.7109375" style="2" bestFit="1" customWidth="1"/>
    <col min="3" max="3" width="3" style="2" bestFit="1" customWidth="1"/>
    <col min="4" max="4" width="2.140625" style="2" bestFit="1" customWidth="1"/>
    <col min="5" max="5" width="9.28515625" style="2" bestFit="1" customWidth="1"/>
    <col min="6" max="6" width="9.140625" style="2"/>
    <col min="7" max="10" width="7.42578125" style="2" customWidth="1"/>
    <col min="11" max="11" width="13.5703125" style="2" bestFit="1" customWidth="1"/>
    <col min="12" max="12" width="4.7109375" style="2" bestFit="1" customWidth="1"/>
    <col min="13" max="13" width="16.42578125" style="2" bestFit="1" customWidth="1"/>
    <col min="14" max="14" width="5.7109375" style="2" bestFit="1" customWidth="1"/>
    <col min="15" max="16384" width="9.140625" style="2"/>
  </cols>
  <sheetData>
    <row r="1" spans="1:14" ht="18" x14ac:dyDescent="0.2">
      <c r="A1" s="27" t="s">
        <v>6</v>
      </c>
    </row>
    <row r="2" spans="1:14" x14ac:dyDescent="0.2">
      <c r="A2" s="84" t="s">
        <v>30</v>
      </c>
      <c r="B2" s="84"/>
    </row>
    <row r="3" spans="1:14" ht="15.75" x14ac:dyDescent="0.2">
      <c r="A3" s="84"/>
      <c r="B3" s="84"/>
      <c r="G3" s="75" t="s">
        <v>18</v>
      </c>
      <c r="H3" s="75"/>
      <c r="I3" s="75" t="s">
        <v>19</v>
      </c>
      <c r="J3" s="75"/>
      <c r="K3" s="75" t="s">
        <v>20</v>
      </c>
      <c r="L3" s="75"/>
      <c r="M3" s="76" t="s">
        <v>21</v>
      </c>
      <c r="N3" s="77"/>
    </row>
    <row r="4" spans="1:14" ht="15.75" x14ac:dyDescent="0.2">
      <c r="B4" s="81" t="s">
        <v>22</v>
      </c>
      <c r="C4" s="81"/>
      <c r="D4" s="81"/>
      <c r="E4" s="81"/>
      <c r="G4" s="78" t="s">
        <v>28</v>
      </c>
      <c r="H4" s="78"/>
      <c r="I4" s="78" t="s">
        <v>28</v>
      </c>
      <c r="J4" s="78"/>
      <c r="K4" s="78" t="s">
        <v>101</v>
      </c>
      <c r="L4" s="78"/>
      <c r="M4" s="78" t="s">
        <v>102</v>
      </c>
      <c r="N4" s="79"/>
    </row>
    <row r="5" spans="1:14" ht="12.75" customHeight="1" x14ac:dyDescent="0.2">
      <c r="B5" s="12" t="s">
        <v>23</v>
      </c>
      <c r="C5" s="13">
        <v>15</v>
      </c>
      <c r="D5" s="80" t="s">
        <v>24</v>
      </c>
      <c r="E5" s="82">
        <f>IF(C6&lt;&gt;0,C5/C6,"N/A")</f>
        <v>0.83333333333333337</v>
      </c>
      <c r="K5" s="62" t="s">
        <v>78</v>
      </c>
      <c r="L5" s="63">
        <v>0.66666666666666663</v>
      </c>
      <c r="M5" s="61" t="s">
        <v>74</v>
      </c>
      <c r="N5" s="60">
        <v>1</v>
      </c>
    </row>
    <row r="6" spans="1:14" ht="12.75" customHeight="1" x14ac:dyDescent="0.2">
      <c r="B6" s="12" t="s">
        <v>25</v>
      </c>
      <c r="C6" s="14">
        <f>COUNTA(class_list)</f>
        <v>18</v>
      </c>
      <c r="D6" s="81"/>
      <c r="E6" s="83"/>
      <c r="M6" s="59" t="s">
        <v>76</v>
      </c>
      <c r="N6" s="60">
        <v>1</v>
      </c>
    </row>
    <row r="7" spans="1:14" x14ac:dyDescent="0.2">
      <c r="A7" s="15"/>
      <c r="M7" s="59" t="s">
        <v>79</v>
      </c>
      <c r="N7" s="60">
        <v>1</v>
      </c>
    </row>
    <row r="8" spans="1:14" x14ac:dyDescent="0.2">
      <c r="A8" s="16" t="s">
        <v>27</v>
      </c>
      <c r="B8" s="17" t="str">
        <f>IF(Info!B1&lt;&gt;"", Info!B1, "Teacher name not set on info page")</f>
        <v>Ms. Johnston</v>
      </c>
      <c r="M8" s="59" t="s">
        <v>83</v>
      </c>
      <c r="N8" s="60">
        <v>1</v>
      </c>
    </row>
    <row r="9" spans="1:14" x14ac:dyDescent="0.2">
      <c r="M9" s="59" t="s">
        <v>84</v>
      </c>
      <c r="N9" s="60">
        <v>1</v>
      </c>
    </row>
    <row r="10" spans="1:14" x14ac:dyDescent="0.2">
      <c r="M10" s="59" t="s">
        <v>87</v>
      </c>
      <c r="N10" s="60">
        <v>1</v>
      </c>
    </row>
    <row r="11" spans="1:14" x14ac:dyDescent="0.2">
      <c r="M11" s="59" t="s">
        <v>89</v>
      </c>
      <c r="N11" s="60">
        <v>1</v>
      </c>
    </row>
    <row r="12" spans="1:14" x14ac:dyDescent="0.2">
      <c r="M12" s="59" t="s">
        <v>75</v>
      </c>
      <c r="N12" s="60">
        <v>0.94444444444444442</v>
      </c>
    </row>
    <row r="13" spans="1:14" x14ac:dyDescent="0.2">
      <c r="M13" s="59" t="s">
        <v>77</v>
      </c>
      <c r="N13" s="60">
        <v>0.94444444444444442</v>
      </c>
    </row>
    <row r="14" spans="1:14" x14ac:dyDescent="0.2">
      <c r="M14" s="59" t="s">
        <v>80</v>
      </c>
      <c r="N14" s="60">
        <v>0.94444444444444442</v>
      </c>
    </row>
    <row r="15" spans="1:14" x14ac:dyDescent="0.2">
      <c r="M15" s="59" t="s">
        <v>97</v>
      </c>
      <c r="N15" s="60">
        <v>0.94444444444444442</v>
      </c>
    </row>
    <row r="16" spans="1:14" x14ac:dyDescent="0.2">
      <c r="M16" s="59" t="s">
        <v>82</v>
      </c>
      <c r="N16" s="60">
        <v>0.94444444444444442</v>
      </c>
    </row>
    <row r="17" spans="13:14" x14ac:dyDescent="0.2">
      <c r="M17" s="59" t="s">
        <v>90</v>
      </c>
      <c r="N17" s="60">
        <v>0.94444444444444442</v>
      </c>
    </row>
    <row r="18" spans="13:14" x14ac:dyDescent="0.2">
      <c r="M18" s="59" t="s">
        <v>86</v>
      </c>
      <c r="N18" s="60">
        <v>0.88888888888888884</v>
      </c>
    </row>
    <row r="19" spans="13:14" x14ac:dyDescent="0.2">
      <c r="M19" s="59" t="s">
        <v>88</v>
      </c>
      <c r="N19" s="60">
        <v>0.88888888888888884</v>
      </c>
    </row>
    <row r="20" spans="13:14" x14ac:dyDescent="0.2">
      <c r="M20" s="59" t="s">
        <v>85</v>
      </c>
      <c r="N20" s="60">
        <v>0.83333333333333337</v>
      </c>
    </row>
    <row r="21" spans="13:14" x14ac:dyDescent="0.2">
      <c r="M21" s="62" t="s">
        <v>81</v>
      </c>
      <c r="N21" s="63">
        <v>0.80555555555555558</v>
      </c>
    </row>
  </sheetData>
  <sheetProtection selectLockedCells="1"/>
  <sortState ref="M5:N35">
    <sortCondition descending="1" ref="N5"/>
  </sortState>
  <mergeCells count="12">
    <mergeCell ref="D5:D6"/>
    <mergeCell ref="E5:E6"/>
    <mergeCell ref="G3:H3"/>
    <mergeCell ref="I3:J3"/>
    <mergeCell ref="B4:E4"/>
    <mergeCell ref="A2:B3"/>
    <mergeCell ref="K3:L3"/>
    <mergeCell ref="M3:N3"/>
    <mergeCell ref="G4:H4"/>
    <mergeCell ref="I4:J4"/>
    <mergeCell ref="K4:L4"/>
    <mergeCell ref="M4:N4"/>
  </mergeCells>
  <conditionalFormatting sqref="A1">
    <cfRule type="cellIs" dxfId="17" priority="1" stopIfTrue="1" operator="equal">
      <formula>"Select Unit"</formula>
    </cfRule>
  </conditionalFormatting>
  <dataValidations count="1">
    <dataValidation type="list" allowBlank="1" showInputMessage="1" showErrorMessage="1" sqref="A1">
      <formula1>"Select Unit,Unit 1,Unit 2,Unit 3,Unit 4,Unit 5,Unit 6,Unit7,Unit 8,Unit 9"</formula1>
    </dataValidation>
  </dataValidations>
  <pageMargins left="0.7" right="0.7" top="0.75" bottom="0.75" header="0.3" footer="0.3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Info!F2:F13</xm:f>
          </x14:formula1>
          <xm:sqref>A1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G35"/>
  <sheetViews>
    <sheetView showGridLines="0" zoomScale="130" zoomScaleNormal="130" zoomScalePageLayoutView="130" workbookViewId="0"/>
  </sheetViews>
  <sheetFormatPr defaultColWidth="9.140625" defaultRowHeight="12.75" x14ac:dyDescent="0.2"/>
  <cols>
    <col min="1" max="1" width="28.85546875" style="2" bestFit="1" customWidth="1"/>
    <col min="2" max="2" width="7.42578125" style="2" customWidth="1"/>
    <col min="3" max="3" width="18.140625" style="2" bestFit="1" customWidth="1"/>
    <col min="4" max="29" width="7.42578125" style="2" customWidth="1"/>
    <col min="30" max="16384" width="9.140625" style="2"/>
  </cols>
  <sheetData>
    <row r="1" spans="1:7" ht="21" thickBot="1" x14ac:dyDescent="0.25">
      <c r="A1" s="24" t="s">
        <v>12</v>
      </c>
      <c r="B1" s="86" t="s">
        <v>30</v>
      </c>
      <c r="C1" s="87"/>
      <c r="D1" s="87"/>
      <c r="E1" s="88"/>
    </row>
    <row r="3" spans="1:7" ht="209.25" customHeight="1" x14ac:dyDescent="0.2">
      <c r="A3" s="85" t="str">
        <f ca="1">IF(A1&lt;&gt;"Select Unit","Dear "&amp;Info!B2&amp;",
We just finished our "&amp;A1&amp;" test on "&amp;LOWER(INDIRECT("'"&amp;A1&amp;"'!E1"))&amp;".   Would you please read these names during tomorrow's announcements?  Thank you!
-"&amp;Info!B1,"Please Select Unit")</f>
        <v>Dear Mr. Schultz,
We just finished our Unit 8 test on addition, subtraction, and the number system.   Would you please read these names during tomorrow's announcements?  Thank you!
-Ms. Johnston</v>
      </c>
      <c r="B3" s="85"/>
      <c r="C3" s="85"/>
      <c r="D3" s="85"/>
      <c r="E3" s="85"/>
      <c r="G3" s="15"/>
    </row>
    <row r="4" spans="1:7" ht="18" x14ac:dyDescent="0.25">
      <c r="A4" s="18" t="s">
        <v>38</v>
      </c>
      <c r="B4" s="19"/>
      <c r="C4" s="18" t="s">
        <v>26</v>
      </c>
    </row>
    <row r="5" spans="1:7" ht="18" x14ac:dyDescent="0.25">
      <c r="A5" s="19"/>
      <c r="B5" s="19"/>
      <c r="C5" s="19"/>
    </row>
    <row r="6" spans="1:7" ht="18" x14ac:dyDescent="0.25">
      <c r="A6" s="19"/>
      <c r="B6" s="19"/>
      <c r="C6" s="19"/>
    </row>
    <row r="7" spans="1:7" ht="18" x14ac:dyDescent="0.25">
      <c r="A7" s="19"/>
      <c r="B7" s="19"/>
      <c r="C7" s="19"/>
    </row>
    <row r="8" spans="1:7" ht="18" x14ac:dyDescent="0.25">
      <c r="A8" s="19"/>
      <c r="B8" s="19"/>
      <c r="C8" s="19"/>
    </row>
    <row r="9" spans="1:7" ht="18" x14ac:dyDescent="0.25">
      <c r="A9" s="19"/>
      <c r="B9" s="19"/>
      <c r="C9" s="19"/>
    </row>
    <row r="10" spans="1:7" ht="18" x14ac:dyDescent="0.25">
      <c r="A10" s="19"/>
      <c r="B10" s="19"/>
      <c r="C10" s="19"/>
    </row>
    <row r="11" spans="1:7" ht="18" x14ac:dyDescent="0.25">
      <c r="A11" s="19"/>
      <c r="B11" s="19"/>
      <c r="C11" s="19"/>
    </row>
    <row r="12" spans="1:7" ht="18" x14ac:dyDescent="0.25">
      <c r="A12" s="19"/>
      <c r="B12" s="19"/>
      <c r="C12" s="19"/>
    </row>
    <row r="13" spans="1:7" ht="18" x14ac:dyDescent="0.25">
      <c r="A13" s="19"/>
      <c r="B13" s="19"/>
      <c r="C13" s="19"/>
    </row>
    <row r="14" spans="1:7" ht="18" x14ac:dyDescent="0.25">
      <c r="A14" s="19"/>
      <c r="B14" s="19"/>
      <c r="C14" s="19"/>
    </row>
    <row r="15" spans="1:7" ht="18" x14ac:dyDescent="0.25">
      <c r="A15" s="19"/>
      <c r="B15" s="19"/>
      <c r="C15" s="19"/>
    </row>
    <row r="16" spans="1:7" ht="18" x14ac:dyDescent="0.25">
      <c r="A16" s="19"/>
      <c r="B16" s="19"/>
      <c r="C16" s="19"/>
    </row>
    <row r="17" spans="1:3" ht="18" x14ac:dyDescent="0.25">
      <c r="A17" s="19"/>
      <c r="B17" s="19"/>
      <c r="C17" s="19"/>
    </row>
    <row r="18" spans="1:3" ht="18" x14ac:dyDescent="0.25">
      <c r="A18" s="19"/>
      <c r="B18" s="19"/>
      <c r="C18" s="19"/>
    </row>
    <row r="19" spans="1:3" ht="18" x14ac:dyDescent="0.25">
      <c r="A19" s="19"/>
      <c r="B19" s="19"/>
      <c r="C19" s="19"/>
    </row>
    <row r="20" spans="1:3" ht="18" x14ac:dyDescent="0.25">
      <c r="A20" s="19"/>
      <c r="B20" s="19"/>
      <c r="C20" s="19"/>
    </row>
    <row r="21" spans="1:3" ht="18" x14ac:dyDescent="0.25">
      <c r="A21" s="19"/>
      <c r="B21" s="19"/>
      <c r="C21" s="19"/>
    </row>
    <row r="22" spans="1:3" ht="18" x14ac:dyDescent="0.25">
      <c r="A22" s="19"/>
      <c r="B22" s="19"/>
      <c r="C22" s="19"/>
    </row>
    <row r="23" spans="1:3" ht="18" x14ac:dyDescent="0.25">
      <c r="A23" s="19"/>
      <c r="B23" s="19"/>
      <c r="C23" s="19"/>
    </row>
    <row r="24" spans="1:3" ht="18" x14ac:dyDescent="0.25">
      <c r="A24" s="19"/>
      <c r="B24" s="19"/>
      <c r="C24" s="19"/>
    </row>
    <row r="25" spans="1:3" ht="18" x14ac:dyDescent="0.25">
      <c r="A25" s="19"/>
      <c r="B25" s="19"/>
      <c r="C25" s="19"/>
    </row>
    <row r="26" spans="1:3" ht="18" x14ac:dyDescent="0.25">
      <c r="A26" s="19"/>
      <c r="B26" s="19"/>
      <c r="C26" s="19"/>
    </row>
    <row r="27" spans="1:3" ht="18" x14ac:dyDescent="0.25">
      <c r="A27" s="19"/>
      <c r="B27" s="19"/>
      <c r="C27" s="19"/>
    </row>
    <row r="28" spans="1:3" ht="18" x14ac:dyDescent="0.25">
      <c r="A28" s="19"/>
      <c r="B28" s="19"/>
      <c r="C28" s="19"/>
    </row>
    <row r="29" spans="1:3" ht="18" x14ac:dyDescent="0.25">
      <c r="A29" s="19"/>
      <c r="B29" s="19"/>
      <c r="C29" s="19"/>
    </row>
    <row r="30" spans="1:3" ht="18" x14ac:dyDescent="0.25">
      <c r="A30" s="19"/>
      <c r="B30" s="19"/>
      <c r="C30" s="19"/>
    </row>
    <row r="31" spans="1:3" ht="18" x14ac:dyDescent="0.25">
      <c r="A31" s="19"/>
      <c r="B31" s="19"/>
      <c r="C31" s="19"/>
    </row>
    <row r="32" spans="1:3" ht="18" x14ac:dyDescent="0.25">
      <c r="A32" s="19"/>
      <c r="B32" s="19"/>
      <c r="C32" s="19"/>
    </row>
    <row r="33" spans="1:3" ht="18" x14ac:dyDescent="0.25">
      <c r="A33" s="19"/>
      <c r="B33" s="19"/>
      <c r="C33" s="19"/>
    </row>
    <row r="34" spans="1:3" ht="18" x14ac:dyDescent="0.25">
      <c r="A34" s="19"/>
      <c r="B34" s="19"/>
      <c r="C34" s="19"/>
    </row>
    <row r="35" spans="1:3" ht="18" x14ac:dyDescent="0.25">
      <c r="A35" s="19"/>
      <c r="B35" s="19"/>
      <c r="C35" s="19"/>
    </row>
  </sheetData>
  <sheetProtection selectLockedCells="1"/>
  <mergeCells count="2">
    <mergeCell ref="A3:E3"/>
    <mergeCell ref="B1:E1"/>
  </mergeCells>
  <conditionalFormatting sqref="A1">
    <cfRule type="cellIs" dxfId="16" priority="1" stopIfTrue="1" operator="equal">
      <formula>"Select Unit"</formula>
    </cfRule>
  </conditionalFormatting>
  <dataValidations count="1">
    <dataValidation type="list" allowBlank="1" showInputMessage="1" showErrorMessage="1" sqref="A1">
      <formula1>"Select Unit,Unit 1,Unit 2,Unit 3,Unit 4,Unit 5,Unit 6,Unit7,Unit 8,Unit 9"</formula1>
    </dataValidation>
  </dataValidations>
  <pageMargins left="0.7" right="0.7" top="0.75" bottom="0.75" header="0.3" footer="0.3"/>
  <pageSetup paperSize="5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Info!F2:F13</xm:f>
          </x14:formula1>
          <xm:sqref>A1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J1000"/>
  <sheetViews>
    <sheetView showGridLines="0" tabSelected="1" zoomScale="115" zoomScaleNormal="115" zoomScalePageLayoutView="115" workbookViewId="0"/>
  </sheetViews>
  <sheetFormatPr defaultColWidth="9.140625" defaultRowHeight="12.75" x14ac:dyDescent="0.2"/>
  <cols>
    <col min="1" max="1" width="16.28515625" style="2" customWidth="1"/>
    <col min="2" max="2" width="4.28515625" style="2" customWidth="1"/>
    <col min="3" max="3" width="3.7109375" style="2" customWidth="1"/>
    <col min="4" max="4" width="4.42578125" style="2" customWidth="1"/>
    <col min="5" max="5" width="4.7109375" style="2" customWidth="1"/>
    <col min="6" max="6" width="4.140625" style="2" customWidth="1"/>
    <col min="7" max="7" width="3.42578125" style="2" customWidth="1"/>
    <col min="8" max="8" width="3.7109375" style="2" customWidth="1"/>
    <col min="9" max="9" width="4.7109375" style="2" customWidth="1"/>
    <col min="10" max="10" width="4.42578125" style="2" customWidth="1"/>
    <col min="11" max="11" width="6.7109375" style="2" customWidth="1"/>
    <col min="12" max="12" width="4.140625" style="2" customWidth="1"/>
    <col min="13" max="13" width="4" style="2" customWidth="1"/>
    <col min="14" max="15" width="3.85546875" style="2" customWidth="1"/>
    <col min="16" max="17" width="3.42578125" style="2" customWidth="1"/>
    <col min="18" max="18" width="7.28515625" style="2" customWidth="1"/>
    <col min="19" max="19" width="8.85546875" style="2" customWidth="1"/>
    <col min="20" max="32" width="9.140625" style="2" customWidth="1"/>
    <col min="33" max="16384" width="9.140625" style="2"/>
  </cols>
  <sheetData>
    <row r="1" spans="1:36" ht="18.75" thickBot="1" x14ac:dyDescent="0.25">
      <c r="A1" s="24" t="s">
        <v>6</v>
      </c>
      <c r="B1" s="99" t="s">
        <v>30</v>
      </c>
      <c r="C1" s="99"/>
      <c r="D1" s="99"/>
      <c r="E1" s="99"/>
      <c r="F1" s="99"/>
      <c r="G1" s="99"/>
      <c r="H1" s="99"/>
      <c r="I1" s="99"/>
      <c r="K1" s="28"/>
      <c r="L1" s="100" t="s">
        <v>29</v>
      </c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29"/>
      <c r="Y1" s="29"/>
      <c r="Z1" s="29"/>
      <c r="AA1" s="29"/>
      <c r="AB1" s="29"/>
      <c r="AC1" s="29"/>
    </row>
    <row r="2" spans="1:36" ht="24.95" customHeight="1" x14ac:dyDescent="0.25">
      <c r="A2" s="89" t="s">
        <v>103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</row>
    <row r="3" spans="1:36" ht="120" customHeight="1" x14ac:dyDescent="0.2">
      <c r="A3" s="91" t="s">
        <v>122</v>
      </c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</row>
    <row r="4" spans="1:36" ht="14.1" customHeight="1" x14ac:dyDescent="0.2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</row>
    <row r="5" spans="1:36" ht="14.1" customHeight="1" x14ac:dyDescent="0.2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</row>
    <row r="6" spans="1:36" ht="14.1" customHeight="1" thickBot="1" x14ac:dyDescent="0.25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</row>
    <row r="7" spans="1:36" ht="99" customHeight="1" x14ac:dyDescent="0.2">
      <c r="A7" s="73" t="s">
        <v>1</v>
      </c>
      <c r="B7" s="93" t="s">
        <v>39</v>
      </c>
      <c r="C7" s="94"/>
      <c r="D7" s="94"/>
      <c r="E7" s="94"/>
      <c r="F7" s="94"/>
      <c r="G7" s="94"/>
      <c r="H7" s="95"/>
      <c r="I7" s="93" t="s">
        <v>93</v>
      </c>
      <c r="J7" s="94"/>
      <c r="K7" s="95"/>
      <c r="L7" s="93" t="s">
        <v>94</v>
      </c>
      <c r="M7" s="94"/>
      <c r="N7" s="95"/>
      <c r="O7" s="93" t="s">
        <v>95</v>
      </c>
      <c r="P7" s="94"/>
      <c r="Q7" s="95"/>
      <c r="R7" s="66"/>
      <c r="S7" s="67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8"/>
      <c r="AG7" s="68"/>
      <c r="AH7" s="68"/>
      <c r="AI7" s="68"/>
      <c r="AJ7" s="68"/>
    </row>
    <row r="8" spans="1:36" ht="14.1" customHeight="1" x14ac:dyDescent="0.2">
      <c r="A8" s="69" t="s">
        <v>2</v>
      </c>
      <c r="B8" s="69">
        <v>1</v>
      </c>
      <c r="C8" s="69">
        <v>2</v>
      </c>
      <c r="D8" s="69">
        <v>3</v>
      </c>
      <c r="E8" s="69">
        <v>4</v>
      </c>
      <c r="F8" s="69">
        <v>5</v>
      </c>
      <c r="G8" s="69">
        <v>6</v>
      </c>
      <c r="H8" s="69">
        <v>7</v>
      </c>
      <c r="I8" s="69">
        <v>8</v>
      </c>
      <c r="J8" s="69">
        <v>9</v>
      </c>
      <c r="K8" s="69">
        <v>10</v>
      </c>
      <c r="L8" s="69">
        <v>11</v>
      </c>
      <c r="M8" s="69">
        <v>12</v>
      </c>
      <c r="N8" s="69">
        <v>13</v>
      </c>
      <c r="O8" s="69">
        <v>14</v>
      </c>
      <c r="P8" s="69">
        <v>15</v>
      </c>
      <c r="Q8" s="69">
        <v>16</v>
      </c>
      <c r="R8" s="69" t="s">
        <v>4</v>
      </c>
      <c r="S8" s="72" t="s">
        <v>17</v>
      </c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</row>
    <row r="9" spans="1:36" ht="14.1" customHeight="1" x14ac:dyDescent="0.2">
      <c r="A9" s="69" t="s">
        <v>3</v>
      </c>
      <c r="B9" s="69">
        <v>1</v>
      </c>
      <c r="C9" s="69">
        <v>1</v>
      </c>
      <c r="D9" s="69">
        <v>1</v>
      </c>
      <c r="E9" s="69">
        <v>1</v>
      </c>
      <c r="F9" s="69">
        <v>1</v>
      </c>
      <c r="G9" s="69">
        <v>1</v>
      </c>
      <c r="H9" s="69">
        <v>3</v>
      </c>
      <c r="I9" s="69">
        <v>1</v>
      </c>
      <c r="J9" s="69">
        <v>1</v>
      </c>
      <c r="K9" s="69">
        <v>1</v>
      </c>
      <c r="L9" s="69">
        <v>1</v>
      </c>
      <c r="M9" s="69">
        <v>1</v>
      </c>
      <c r="N9" s="69">
        <v>1</v>
      </c>
      <c r="O9" s="69">
        <v>1</v>
      </c>
      <c r="P9" s="69">
        <v>1</v>
      </c>
      <c r="Q9" s="69">
        <v>1</v>
      </c>
      <c r="R9" s="69">
        <v>18</v>
      </c>
      <c r="S9" s="72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</row>
    <row r="10" spans="1:36" ht="14.1" customHeight="1" thickBot="1" x14ac:dyDescent="0.25">
      <c r="A10" s="70" t="s">
        <v>92</v>
      </c>
      <c r="B10" s="70">
        <v>1</v>
      </c>
      <c r="C10" s="70">
        <v>1</v>
      </c>
      <c r="D10" s="70">
        <v>1</v>
      </c>
      <c r="E10" s="70">
        <v>1</v>
      </c>
      <c r="F10" s="70">
        <v>1</v>
      </c>
      <c r="G10" s="70">
        <v>1</v>
      </c>
      <c r="H10" s="70">
        <v>3</v>
      </c>
      <c r="I10" s="70">
        <v>1</v>
      </c>
      <c r="J10" s="70">
        <v>1</v>
      </c>
      <c r="K10" s="70">
        <v>1</v>
      </c>
      <c r="L10" s="70">
        <v>1</v>
      </c>
      <c r="M10" s="70">
        <v>1</v>
      </c>
      <c r="N10" s="70">
        <v>1</v>
      </c>
      <c r="O10" s="70">
        <v>1</v>
      </c>
      <c r="P10" s="70">
        <v>1</v>
      </c>
      <c r="Q10" s="70">
        <v>1</v>
      </c>
      <c r="R10" s="70">
        <v>18</v>
      </c>
      <c r="S10" s="71">
        <v>1</v>
      </c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</row>
    <row r="11" spans="1:36" ht="14.1" customHeight="1" x14ac:dyDescent="0.2"/>
    <row r="12" spans="1:36" ht="23.25" customHeight="1" x14ac:dyDescent="0.25">
      <c r="A12" s="74" t="s">
        <v>123</v>
      </c>
    </row>
    <row r="13" spans="1:36" ht="14.1" customHeight="1" x14ac:dyDescent="0.2"/>
    <row r="14" spans="1:36" ht="14.1" customHeight="1" x14ac:dyDescent="0.2">
      <c r="A14" s="91" t="s">
        <v>99</v>
      </c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</row>
    <row r="15" spans="1:36" ht="14.1" customHeight="1" x14ac:dyDescent="0.2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6"/>
      <c r="W15" s="96"/>
      <c r="X15" s="96"/>
      <c r="Y15" s="96"/>
      <c r="Z15" s="96"/>
      <c r="AA15" s="96"/>
      <c r="AB15" s="96"/>
      <c r="AC15" s="96"/>
    </row>
    <row r="16" spans="1:36" ht="14.1" customHeight="1" x14ac:dyDescent="0.2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</row>
    <row r="17" spans="1:36" ht="14.1" customHeight="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96"/>
      <c r="N17" s="96"/>
      <c r="O17" s="96"/>
      <c r="P17" s="96"/>
      <c r="Q17" s="96"/>
      <c r="R17" s="96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</row>
    <row r="18" spans="1:36" ht="14.1" customHeight="1" x14ac:dyDescent="0.2"/>
    <row r="19" spans="1:36" ht="14.1" customHeight="1" x14ac:dyDescent="0.2">
      <c r="A19" s="97" t="s">
        <v>100</v>
      </c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</row>
    <row r="20" spans="1:36" ht="14.1" customHeight="1" x14ac:dyDescent="0.2">
      <c r="A20" s="98"/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</row>
    <row r="21" spans="1:36" ht="14.1" customHeight="1" x14ac:dyDescent="0.2">
      <c r="A21" s="98"/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</row>
    <row r="22" spans="1:36" ht="14.1" customHeight="1" x14ac:dyDescent="0.2">
      <c r="A22" s="98"/>
      <c r="B22" s="98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</row>
    <row r="23" spans="1:36" ht="14.1" customHeight="1" x14ac:dyDescent="0.2">
      <c r="A23" s="98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</row>
    <row r="24" spans="1:36" ht="14.1" customHeight="1" x14ac:dyDescent="0.2">
      <c r="A24" s="98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</row>
    <row r="25" spans="1:36" ht="14.1" customHeight="1" x14ac:dyDescent="0.2">
      <c r="A25" s="98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</row>
    <row r="26" spans="1:36" ht="14.1" customHeight="1" x14ac:dyDescent="0.2">
      <c r="A26" s="98"/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</row>
    <row r="27" spans="1:36" ht="24.95" customHeight="1" x14ac:dyDescent="0.25">
      <c r="A27" s="89" t="s">
        <v>103</v>
      </c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</row>
    <row r="28" spans="1:36" ht="120" customHeight="1" x14ac:dyDescent="0.2">
      <c r="A28" s="91" t="s">
        <v>124</v>
      </c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</row>
    <row r="29" spans="1:36" ht="14.1" customHeight="1" x14ac:dyDescent="0.2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</row>
    <row r="30" spans="1:36" ht="14.1" customHeight="1" x14ac:dyDescent="0.2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</row>
    <row r="31" spans="1:36" ht="14.1" customHeight="1" thickBot="1" x14ac:dyDescent="0.25">
      <c r="A31" s="92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</row>
    <row r="32" spans="1:36" ht="99" customHeight="1" x14ac:dyDescent="0.2">
      <c r="A32" s="73" t="s">
        <v>1</v>
      </c>
      <c r="B32" s="93" t="s">
        <v>39</v>
      </c>
      <c r="C32" s="94"/>
      <c r="D32" s="94"/>
      <c r="E32" s="94"/>
      <c r="F32" s="94"/>
      <c r="G32" s="94"/>
      <c r="H32" s="95"/>
      <c r="I32" s="93" t="s">
        <v>93</v>
      </c>
      <c r="J32" s="94"/>
      <c r="K32" s="95"/>
      <c r="L32" s="93" t="s">
        <v>94</v>
      </c>
      <c r="M32" s="94"/>
      <c r="N32" s="95"/>
      <c r="O32" s="93" t="s">
        <v>95</v>
      </c>
      <c r="P32" s="94"/>
      <c r="Q32" s="95"/>
      <c r="R32" s="66"/>
      <c r="S32" s="67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8"/>
      <c r="AG32" s="68"/>
      <c r="AH32" s="68"/>
      <c r="AI32" s="68"/>
      <c r="AJ32" s="68"/>
    </row>
    <row r="33" spans="1:31" ht="14.1" customHeight="1" x14ac:dyDescent="0.2">
      <c r="A33" s="69" t="s">
        <v>2</v>
      </c>
      <c r="B33" s="69">
        <v>1</v>
      </c>
      <c r="C33" s="69">
        <v>2</v>
      </c>
      <c r="D33" s="69">
        <v>3</v>
      </c>
      <c r="E33" s="69">
        <v>4</v>
      </c>
      <c r="F33" s="69">
        <v>5</v>
      </c>
      <c r="G33" s="69">
        <v>6</v>
      </c>
      <c r="H33" s="69">
        <v>7</v>
      </c>
      <c r="I33" s="69">
        <v>8</v>
      </c>
      <c r="J33" s="69">
        <v>9</v>
      </c>
      <c r="K33" s="69">
        <v>10</v>
      </c>
      <c r="L33" s="69">
        <v>11</v>
      </c>
      <c r="M33" s="69">
        <v>12</v>
      </c>
      <c r="N33" s="69">
        <v>13</v>
      </c>
      <c r="O33" s="69">
        <v>14</v>
      </c>
      <c r="P33" s="69">
        <v>15</v>
      </c>
      <c r="Q33" s="69">
        <v>16</v>
      </c>
      <c r="R33" s="69" t="s">
        <v>4</v>
      </c>
      <c r="S33" s="72" t="s">
        <v>17</v>
      </c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</row>
    <row r="34" spans="1:31" ht="14.1" customHeight="1" x14ac:dyDescent="0.2">
      <c r="A34" s="69" t="s">
        <v>3</v>
      </c>
      <c r="B34" s="69">
        <v>1</v>
      </c>
      <c r="C34" s="69">
        <v>1</v>
      </c>
      <c r="D34" s="69">
        <v>1</v>
      </c>
      <c r="E34" s="69">
        <v>1</v>
      </c>
      <c r="F34" s="69">
        <v>1</v>
      </c>
      <c r="G34" s="69">
        <v>1</v>
      </c>
      <c r="H34" s="69">
        <v>3</v>
      </c>
      <c r="I34" s="69">
        <v>1</v>
      </c>
      <c r="J34" s="69">
        <v>1</v>
      </c>
      <c r="K34" s="69">
        <v>1</v>
      </c>
      <c r="L34" s="69">
        <v>1</v>
      </c>
      <c r="M34" s="69">
        <v>1</v>
      </c>
      <c r="N34" s="69">
        <v>1</v>
      </c>
      <c r="O34" s="69">
        <v>1</v>
      </c>
      <c r="P34" s="69">
        <v>1</v>
      </c>
      <c r="Q34" s="69">
        <v>1</v>
      </c>
      <c r="R34" s="69">
        <v>18</v>
      </c>
      <c r="S34" s="72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</row>
    <row r="35" spans="1:31" ht="14.1" customHeight="1" thickBot="1" x14ac:dyDescent="0.25">
      <c r="A35" s="70" t="s">
        <v>92</v>
      </c>
      <c r="B35" s="70">
        <v>1</v>
      </c>
      <c r="C35" s="70">
        <v>1</v>
      </c>
      <c r="D35" s="70">
        <v>1</v>
      </c>
      <c r="E35" s="70">
        <v>1</v>
      </c>
      <c r="F35" s="70">
        <v>1</v>
      </c>
      <c r="G35" s="70">
        <v>1</v>
      </c>
      <c r="H35" s="70">
        <v>3</v>
      </c>
      <c r="I35" s="70">
        <v>1</v>
      </c>
      <c r="J35" s="70">
        <v>1</v>
      </c>
      <c r="K35" s="70">
        <v>1</v>
      </c>
      <c r="L35" s="70">
        <v>0</v>
      </c>
      <c r="M35" s="70">
        <v>1</v>
      </c>
      <c r="N35" s="70">
        <v>1</v>
      </c>
      <c r="O35" s="70">
        <v>1</v>
      </c>
      <c r="P35" s="70">
        <v>1</v>
      </c>
      <c r="Q35" s="70">
        <v>1</v>
      </c>
      <c r="R35" s="70">
        <v>17</v>
      </c>
      <c r="S35" s="71">
        <v>0.94444444444444442</v>
      </c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</row>
    <row r="36" spans="1:31" ht="14.1" customHeight="1" x14ac:dyDescent="0.2"/>
    <row r="37" spans="1:31" ht="23.25" customHeight="1" x14ac:dyDescent="0.25">
      <c r="A37" s="74" t="s">
        <v>123</v>
      </c>
    </row>
    <row r="38" spans="1:31" ht="14.1" customHeight="1" x14ac:dyDescent="0.2"/>
    <row r="39" spans="1:31" ht="14.1" customHeight="1" x14ac:dyDescent="0.2">
      <c r="A39" s="91" t="s">
        <v>99</v>
      </c>
      <c r="B39" s="96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</row>
    <row r="40" spans="1:31" ht="14.1" customHeight="1" x14ac:dyDescent="0.2">
      <c r="A40" s="96"/>
      <c r="B40" s="96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</row>
    <row r="41" spans="1:31" ht="14.1" customHeight="1" x14ac:dyDescent="0.2">
      <c r="A41" s="96"/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</row>
    <row r="42" spans="1:31" ht="14.1" customHeight="1" x14ac:dyDescent="0.2">
      <c r="A42" s="96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</row>
    <row r="43" spans="1:31" ht="14.1" customHeight="1" x14ac:dyDescent="0.2"/>
    <row r="44" spans="1:31" ht="14.1" customHeight="1" x14ac:dyDescent="0.2">
      <c r="A44" s="97" t="s">
        <v>100</v>
      </c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</row>
    <row r="45" spans="1:31" ht="14.1" customHeight="1" x14ac:dyDescent="0.2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</row>
    <row r="46" spans="1:31" ht="14.1" customHeight="1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</row>
    <row r="47" spans="1:31" ht="14.1" customHeight="1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</row>
    <row r="48" spans="1:31" ht="14.1" customHeight="1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</row>
    <row r="49" spans="1:36" ht="14.1" customHeight="1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</row>
    <row r="50" spans="1:36" ht="14.1" customHeight="1" x14ac:dyDescent="0.2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</row>
    <row r="51" spans="1:36" ht="14.1" customHeight="1" x14ac:dyDescent="0.2">
      <c r="A51" s="98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</row>
    <row r="52" spans="1:36" ht="24.95" customHeight="1" x14ac:dyDescent="0.25">
      <c r="A52" s="89" t="s">
        <v>103</v>
      </c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0"/>
      <c r="O52" s="90"/>
      <c r="P52" s="90"/>
      <c r="Q52" s="90"/>
      <c r="R52" s="90"/>
      <c r="S52" s="90"/>
      <c r="T52" s="90"/>
      <c r="U52" s="90"/>
      <c r="V52" s="90"/>
      <c r="W52" s="90"/>
      <c r="X52" s="90"/>
      <c r="Y52" s="90"/>
      <c r="Z52" s="90"/>
      <c r="AA52" s="90"/>
      <c r="AB52" s="90"/>
      <c r="AC52" s="90"/>
      <c r="AD52" s="90"/>
      <c r="AE52" s="90"/>
      <c r="AF52" s="90"/>
      <c r="AG52" s="90"/>
      <c r="AH52" s="90"/>
      <c r="AI52" s="90"/>
      <c r="AJ52" s="90"/>
    </row>
    <row r="53" spans="1:36" ht="120" customHeight="1" x14ac:dyDescent="0.2">
      <c r="A53" s="91" t="s">
        <v>125</v>
      </c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</row>
    <row r="54" spans="1:36" ht="14.1" customHeight="1" x14ac:dyDescent="0.2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</row>
    <row r="55" spans="1:36" ht="14.1" customHeight="1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</row>
    <row r="56" spans="1:36" ht="14.1" customHeight="1" thickBot="1" x14ac:dyDescent="0.25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</row>
    <row r="57" spans="1:36" ht="99" customHeight="1" x14ac:dyDescent="0.2">
      <c r="A57" s="73" t="s">
        <v>1</v>
      </c>
      <c r="B57" s="93" t="s">
        <v>39</v>
      </c>
      <c r="C57" s="94"/>
      <c r="D57" s="94"/>
      <c r="E57" s="94"/>
      <c r="F57" s="94"/>
      <c r="G57" s="94"/>
      <c r="H57" s="95"/>
      <c r="I57" s="93" t="s">
        <v>93</v>
      </c>
      <c r="J57" s="94"/>
      <c r="K57" s="95"/>
      <c r="L57" s="93" t="s">
        <v>94</v>
      </c>
      <c r="M57" s="94"/>
      <c r="N57" s="95"/>
      <c r="O57" s="93" t="s">
        <v>95</v>
      </c>
      <c r="P57" s="94"/>
      <c r="Q57" s="95"/>
      <c r="R57" s="66"/>
      <c r="S57" s="67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8"/>
      <c r="AG57" s="68"/>
      <c r="AH57" s="68"/>
      <c r="AI57" s="68"/>
      <c r="AJ57" s="68"/>
    </row>
    <row r="58" spans="1:36" ht="14.1" customHeight="1" x14ac:dyDescent="0.2">
      <c r="A58" s="69" t="s">
        <v>2</v>
      </c>
      <c r="B58" s="69">
        <v>1</v>
      </c>
      <c r="C58" s="69">
        <v>2</v>
      </c>
      <c r="D58" s="69">
        <v>3</v>
      </c>
      <c r="E58" s="69">
        <v>4</v>
      </c>
      <c r="F58" s="69">
        <v>5</v>
      </c>
      <c r="G58" s="69">
        <v>6</v>
      </c>
      <c r="H58" s="69">
        <v>7</v>
      </c>
      <c r="I58" s="69">
        <v>8</v>
      </c>
      <c r="J58" s="69">
        <v>9</v>
      </c>
      <c r="K58" s="69">
        <v>10</v>
      </c>
      <c r="L58" s="69">
        <v>11</v>
      </c>
      <c r="M58" s="69">
        <v>12</v>
      </c>
      <c r="N58" s="69">
        <v>13</v>
      </c>
      <c r="O58" s="69">
        <v>14</v>
      </c>
      <c r="P58" s="69">
        <v>15</v>
      </c>
      <c r="Q58" s="69">
        <v>16</v>
      </c>
      <c r="R58" s="69" t="s">
        <v>4</v>
      </c>
      <c r="S58" s="72" t="s">
        <v>17</v>
      </c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</row>
    <row r="59" spans="1:36" ht="14.1" customHeight="1" x14ac:dyDescent="0.2">
      <c r="A59" s="69" t="s">
        <v>3</v>
      </c>
      <c r="B59" s="69">
        <v>1</v>
      </c>
      <c r="C59" s="69">
        <v>1</v>
      </c>
      <c r="D59" s="69">
        <v>1</v>
      </c>
      <c r="E59" s="69">
        <v>1</v>
      </c>
      <c r="F59" s="69">
        <v>1</v>
      </c>
      <c r="G59" s="69">
        <v>1</v>
      </c>
      <c r="H59" s="69">
        <v>3</v>
      </c>
      <c r="I59" s="69">
        <v>1</v>
      </c>
      <c r="J59" s="69">
        <v>1</v>
      </c>
      <c r="K59" s="69">
        <v>1</v>
      </c>
      <c r="L59" s="69">
        <v>1</v>
      </c>
      <c r="M59" s="69">
        <v>1</v>
      </c>
      <c r="N59" s="69">
        <v>1</v>
      </c>
      <c r="O59" s="69">
        <v>1</v>
      </c>
      <c r="P59" s="69">
        <v>1</v>
      </c>
      <c r="Q59" s="69">
        <v>1</v>
      </c>
      <c r="R59" s="69">
        <v>18</v>
      </c>
      <c r="S59" s="72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</row>
    <row r="60" spans="1:36" ht="14.1" customHeight="1" thickBot="1" x14ac:dyDescent="0.25">
      <c r="A60" s="70" t="s">
        <v>92</v>
      </c>
      <c r="B60" s="70">
        <v>1</v>
      </c>
      <c r="C60" s="70">
        <v>1</v>
      </c>
      <c r="D60" s="70">
        <v>1</v>
      </c>
      <c r="E60" s="70">
        <v>1</v>
      </c>
      <c r="F60" s="70">
        <v>1</v>
      </c>
      <c r="G60" s="70">
        <v>1</v>
      </c>
      <c r="H60" s="70">
        <v>3</v>
      </c>
      <c r="I60" s="70">
        <v>1</v>
      </c>
      <c r="J60" s="70">
        <v>1</v>
      </c>
      <c r="K60" s="70">
        <v>1</v>
      </c>
      <c r="L60" s="70">
        <v>1</v>
      </c>
      <c r="M60" s="70">
        <v>1</v>
      </c>
      <c r="N60" s="70">
        <v>1</v>
      </c>
      <c r="O60" s="70">
        <v>1</v>
      </c>
      <c r="P60" s="70">
        <v>1</v>
      </c>
      <c r="Q60" s="70">
        <v>1</v>
      </c>
      <c r="R60" s="70">
        <v>18</v>
      </c>
      <c r="S60" s="71">
        <v>1</v>
      </c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</row>
    <row r="61" spans="1:36" ht="14.1" customHeight="1" x14ac:dyDescent="0.2"/>
    <row r="62" spans="1:36" ht="23.25" customHeight="1" x14ac:dyDescent="0.25">
      <c r="A62" s="74" t="s">
        <v>123</v>
      </c>
    </row>
    <row r="63" spans="1:36" ht="14.1" customHeight="1" x14ac:dyDescent="0.2"/>
    <row r="64" spans="1:36" ht="14.1" customHeight="1" x14ac:dyDescent="0.2">
      <c r="A64" s="91" t="s">
        <v>99</v>
      </c>
      <c r="B64" s="96"/>
      <c r="C64" s="96"/>
      <c r="D64" s="96"/>
      <c r="E64" s="96"/>
      <c r="F64" s="96"/>
      <c r="G64" s="96"/>
      <c r="H64" s="96"/>
      <c r="I64" s="96"/>
      <c r="J64" s="96"/>
      <c r="K64" s="96"/>
      <c r="L64" s="96"/>
      <c r="M64" s="96"/>
      <c r="N64" s="96"/>
      <c r="O64" s="96"/>
      <c r="P64" s="96"/>
      <c r="Q64" s="96"/>
      <c r="R64" s="96"/>
      <c r="S64" s="96"/>
      <c r="T64" s="96"/>
      <c r="U64" s="96"/>
      <c r="V64" s="96"/>
      <c r="W64" s="96"/>
      <c r="X64" s="96"/>
      <c r="Y64" s="96"/>
      <c r="Z64" s="96"/>
      <c r="AA64" s="96"/>
      <c r="AB64" s="96"/>
      <c r="AC64" s="96"/>
    </row>
    <row r="65" spans="1:36" ht="14.1" customHeight="1" x14ac:dyDescent="0.2">
      <c r="A65" s="96"/>
      <c r="B65" s="96"/>
      <c r="C65" s="96"/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6"/>
      <c r="P65" s="96"/>
      <c r="Q65" s="96"/>
      <c r="R65" s="96"/>
      <c r="S65" s="96"/>
      <c r="T65" s="96"/>
      <c r="U65" s="96"/>
      <c r="V65" s="96"/>
      <c r="W65" s="96"/>
      <c r="X65" s="96"/>
      <c r="Y65" s="96"/>
      <c r="Z65" s="96"/>
      <c r="AA65" s="96"/>
      <c r="AB65" s="96"/>
      <c r="AC65" s="96"/>
    </row>
    <row r="66" spans="1:36" ht="14.1" customHeight="1" x14ac:dyDescent="0.2">
      <c r="A66" s="96"/>
      <c r="B66" s="96"/>
      <c r="C66" s="96"/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6"/>
      <c r="S66" s="96"/>
      <c r="T66" s="96"/>
      <c r="U66" s="96"/>
      <c r="V66" s="96"/>
      <c r="W66" s="96"/>
      <c r="X66" s="96"/>
      <c r="Y66" s="96"/>
      <c r="Z66" s="96"/>
      <c r="AA66" s="96"/>
      <c r="AB66" s="96"/>
      <c r="AC66" s="96"/>
    </row>
    <row r="67" spans="1:36" ht="14.1" customHeight="1" x14ac:dyDescent="0.2">
      <c r="A67" s="96"/>
      <c r="B67" s="96"/>
      <c r="C67" s="96"/>
      <c r="D67" s="96"/>
      <c r="E67" s="96"/>
      <c r="F67" s="96"/>
      <c r="G67" s="96"/>
      <c r="H67" s="96"/>
      <c r="I67" s="96"/>
      <c r="J67" s="96"/>
      <c r="K67" s="96"/>
      <c r="L67" s="96"/>
      <c r="M67" s="96"/>
      <c r="N67" s="96"/>
      <c r="O67" s="96"/>
      <c r="P67" s="96"/>
      <c r="Q67" s="96"/>
      <c r="R67" s="96"/>
      <c r="S67" s="96"/>
      <c r="T67" s="96"/>
      <c r="U67" s="96"/>
      <c r="V67" s="96"/>
      <c r="W67" s="96"/>
      <c r="X67" s="96"/>
      <c r="Y67" s="96"/>
      <c r="Z67" s="96"/>
      <c r="AA67" s="96"/>
      <c r="AB67" s="96"/>
      <c r="AC67" s="96"/>
    </row>
    <row r="68" spans="1:36" ht="14.1" customHeight="1" x14ac:dyDescent="0.2"/>
    <row r="69" spans="1:36" ht="14.1" customHeight="1" x14ac:dyDescent="0.2">
      <c r="A69" s="97" t="s">
        <v>100</v>
      </c>
      <c r="B69" s="98"/>
      <c r="C69" s="98"/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98"/>
      <c r="AC69" s="98"/>
    </row>
    <row r="70" spans="1:36" ht="14.1" customHeight="1" x14ac:dyDescent="0.2">
      <c r="A70" s="98"/>
      <c r="B70" s="98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98"/>
      <c r="AC70" s="98"/>
    </row>
    <row r="71" spans="1:36" ht="14.1" customHeight="1" x14ac:dyDescent="0.2">
      <c r="A71" s="98"/>
      <c r="B71" s="98"/>
      <c r="C71" s="98"/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98"/>
      <c r="AC71" s="98"/>
    </row>
    <row r="72" spans="1:36" ht="14.1" customHeight="1" x14ac:dyDescent="0.2">
      <c r="A72" s="98"/>
      <c r="B72" s="98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98"/>
      <c r="Z72" s="98"/>
      <c r="AA72" s="98"/>
      <c r="AB72" s="98"/>
      <c r="AC72" s="98"/>
    </row>
    <row r="73" spans="1:36" ht="14.1" customHeight="1" x14ac:dyDescent="0.2">
      <c r="A73" s="98"/>
      <c r="B73" s="98"/>
      <c r="C73" s="98"/>
      <c r="D73" s="98"/>
      <c r="E73" s="98"/>
      <c r="F73" s="98"/>
      <c r="G73" s="98"/>
      <c r="H73" s="98"/>
      <c r="I73" s="98"/>
      <c r="J73" s="98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8"/>
      <c r="X73" s="98"/>
      <c r="Y73" s="98"/>
      <c r="Z73" s="98"/>
      <c r="AA73" s="98"/>
      <c r="AB73" s="98"/>
      <c r="AC73" s="98"/>
    </row>
    <row r="74" spans="1:36" ht="14.1" customHeight="1" x14ac:dyDescent="0.2">
      <c r="A74" s="98"/>
      <c r="B74" s="98"/>
      <c r="C74" s="98"/>
      <c r="D74" s="98"/>
      <c r="E74" s="98"/>
      <c r="F74" s="98"/>
      <c r="G74" s="98"/>
      <c r="H74" s="98"/>
      <c r="I74" s="98"/>
      <c r="J74" s="98"/>
      <c r="K74" s="98"/>
      <c r="L74" s="98"/>
      <c r="M74" s="98"/>
      <c r="N74" s="98"/>
      <c r="O74" s="98"/>
      <c r="P74" s="98"/>
      <c r="Q74" s="98"/>
      <c r="R74" s="98"/>
      <c r="S74" s="98"/>
      <c r="T74" s="98"/>
      <c r="U74" s="98"/>
      <c r="V74" s="98"/>
      <c r="W74" s="98"/>
      <c r="X74" s="98"/>
      <c r="Y74" s="98"/>
      <c r="Z74" s="98"/>
      <c r="AA74" s="98"/>
      <c r="AB74" s="98"/>
      <c r="AC74" s="98"/>
    </row>
    <row r="75" spans="1:36" ht="14.1" customHeight="1" x14ac:dyDescent="0.2">
      <c r="A75" s="98"/>
      <c r="B75" s="98"/>
      <c r="C75" s="98"/>
      <c r="D75" s="98"/>
      <c r="E75" s="98"/>
      <c r="F75" s="98"/>
      <c r="G75" s="98"/>
      <c r="H75" s="98"/>
      <c r="I75" s="98"/>
      <c r="J75" s="98"/>
      <c r="K75" s="98"/>
      <c r="L75" s="98"/>
      <c r="M75" s="98"/>
      <c r="N75" s="98"/>
      <c r="O75" s="98"/>
      <c r="P75" s="98"/>
      <c r="Q75" s="98"/>
      <c r="R75" s="98"/>
      <c r="S75" s="98"/>
      <c r="T75" s="98"/>
      <c r="U75" s="98"/>
      <c r="V75" s="98"/>
      <c r="W75" s="98"/>
      <c r="X75" s="98"/>
      <c r="Y75" s="98"/>
      <c r="Z75" s="98"/>
      <c r="AA75" s="98"/>
      <c r="AB75" s="98"/>
      <c r="AC75" s="98"/>
    </row>
    <row r="76" spans="1:36" ht="14.1" customHeight="1" x14ac:dyDescent="0.2">
      <c r="A76" s="98"/>
      <c r="B76" s="98"/>
      <c r="C76" s="98"/>
      <c r="D76" s="98"/>
      <c r="E76" s="98"/>
      <c r="F76" s="98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</row>
    <row r="77" spans="1:36" ht="24.95" customHeight="1" x14ac:dyDescent="0.25">
      <c r="A77" s="89" t="s">
        <v>103</v>
      </c>
      <c r="B77" s="90"/>
      <c r="C77" s="90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  <c r="AE77" s="90"/>
      <c r="AF77" s="90"/>
      <c r="AG77" s="90"/>
      <c r="AH77" s="90"/>
      <c r="AI77" s="90"/>
      <c r="AJ77" s="90"/>
    </row>
    <row r="78" spans="1:36" ht="120" customHeight="1" x14ac:dyDescent="0.2">
      <c r="A78" s="91" t="s">
        <v>126</v>
      </c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</row>
    <row r="79" spans="1:36" ht="14.1" customHeight="1" x14ac:dyDescent="0.2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</row>
    <row r="80" spans="1:36" ht="14.1" customHeight="1" x14ac:dyDescent="0.2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</row>
    <row r="81" spans="1:36" ht="14.1" customHeight="1" thickBot="1" x14ac:dyDescent="0.25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</row>
    <row r="82" spans="1:36" ht="99" customHeight="1" x14ac:dyDescent="0.2">
      <c r="A82" s="73" t="s">
        <v>1</v>
      </c>
      <c r="B82" s="93" t="s">
        <v>39</v>
      </c>
      <c r="C82" s="94"/>
      <c r="D82" s="94"/>
      <c r="E82" s="94"/>
      <c r="F82" s="94"/>
      <c r="G82" s="94"/>
      <c r="H82" s="95"/>
      <c r="I82" s="93" t="s">
        <v>93</v>
      </c>
      <c r="J82" s="94"/>
      <c r="K82" s="95"/>
      <c r="L82" s="93" t="s">
        <v>94</v>
      </c>
      <c r="M82" s="94"/>
      <c r="N82" s="95"/>
      <c r="O82" s="93" t="s">
        <v>95</v>
      </c>
      <c r="P82" s="94"/>
      <c r="Q82" s="95"/>
      <c r="R82" s="66"/>
      <c r="S82" s="67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8"/>
      <c r="AG82" s="68"/>
      <c r="AH82" s="68"/>
      <c r="AI82" s="68"/>
      <c r="AJ82" s="68"/>
    </row>
    <row r="83" spans="1:36" ht="14.1" customHeight="1" x14ac:dyDescent="0.2">
      <c r="A83" s="69" t="s">
        <v>2</v>
      </c>
      <c r="B83" s="69">
        <v>1</v>
      </c>
      <c r="C83" s="69">
        <v>2</v>
      </c>
      <c r="D83" s="69">
        <v>3</v>
      </c>
      <c r="E83" s="69">
        <v>4</v>
      </c>
      <c r="F83" s="69">
        <v>5</v>
      </c>
      <c r="G83" s="69">
        <v>6</v>
      </c>
      <c r="H83" s="69">
        <v>7</v>
      </c>
      <c r="I83" s="69">
        <v>8</v>
      </c>
      <c r="J83" s="69">
        <v>9</v>
      </c>
      <c r="K83" s="69">
        <v>10</v>
      </c>
      <c r="L83" s="69">
        <v>11</v>
      </c>
      <c r="M83" s="69">
        <v>12</v>
      </c>
      <c r="N83" s="69">
        <v>13</v>
      </c>
      <c r="O83" s="69">
        <v>14</v>
      </c>
      <c r="P83" s="69">
        <v>15</v>
      </c>
      <c r="Q83" s="69">
        <v>16</v>
      </c>
      <c r="R83" s="69" t="s">
        <v>4</v>
      </c>
      <c r="S83" s="72" t="s">
        <v>17</v>
      </c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</row>
    <row r="84" spans="1:36" ht="14.1" customHeight="1" x14ac:dyDescent="0.2">
      <c r="A84" s="69" t="s">
        <v>3</v>
      </c>
      <c r="B84" s="69">
        <v>1</v>
      </c>
      <c r="C84" s="69">
        <v>1</v>
      </c>
      <c r="D84" s="69">
        <v>1</v>
      </c>
      <c r="E84" s="69">
        <v>1</v>
      </c>
      <c r="F84" s="69">
        <v>1</v>
      </c>
      <c r="G84" s="69">
        <v>1</v>
      </c>
      <c r="H84" s="69">
        <v>3</v>
      </c>
      <c r="I84" s="69">
        <v>1</v>
      </c>
      <c r="J84" s="69">
        <v>1</v>
      </c>
      <c r="K84" s="69">
        <v>1</v>
      </c>
      <c r="L84" s="69">
        <v>1</v>
      </c>
      <c r="M84" s="69">
        <v>1</v>
      </c>
      <c r="N84" s="69">
        <v>1</v>
      </c>
      <c r="O84" s="69">
        <v>1</v>
      </c>
      <c r="P84" s="69">
        <v>1</v>
      </c>
      <c r="Q84" s="69">
        <v>1</v>
      </c>
      <c r="R84" s="69">
        <v>18</v>
      </c>
      <c r="S84" s="72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</row>
    <row r="85" spans="1:36" ht="14.1" customHeight="1" thickBot="1" x14ac:dyDescent="0.25">
      <c r="A85" s="70" t="s">
        <v>92</v>
      </c>
      <c r="B85" s="70">
        <v>1</v>
      </c>
      <c r="C85" s="70">
        <v>1</v>
      </c>
      <c r="D85" s="70">
        <v>1</v>
      </c>
      <c r="E85" s="70">
        <v>1</v>
      </c>
      <c r="F85" s="70">
        <v>1</v>
      </c>
      <c r="G85" s="70">
        <v>1</v>
      </c>
      <c r="H85" s="70">
        <v>3</v>
      </c>
      <c r="I85" s="70">
        <v>1</v>
      </c>
      <c r="J85" s="70">
        <v>1</v>
      </c>
      <c r="K85" s="70">
        <v>1</v>
      </c>
      <c r="L85" s="70">
        <v>1</v>
      </c>
      <c r="M85" s="70">
        <v>1</v>
      </c>
      <c r="N85" s="70">
        <v>1</v>
      </c>
      <c r="O85" s="70">
        <v>1</v>
      </c>
      <c r="P85" s="70">
        <v>1</v>
      </c>
      <c r="Q85" s="70">
        <v>0</v>
      </c>
      <c r="R85" s="70">
        <v>17</v>
      </c>
      <c r="S85" s="71">
        <v>0.94444444444444442</v>
      </c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</row>
    <row r="86" spans="1:36" ht="14.1" customHeight="1" x14ac:dyDescent="0.2"/>
    <row r="87" spans="1:36" ht="23.25" customHeight="1" x14ac:dyDescent="0.25">
      <c r="A87" s="74" t="s">
        <v>123</v>
      </c>
    </row>
    <row r="88" spans="1:36" ht="14.1" customHeight="1" x14ac:dyDescent="0.2"/>
    <row r="89" spans="1:36" ht="14.1" customHeight="1" x14ac:dyDescent="0.2">
      <c r="A89" s="91" t="s">
        <v>99</v>
      </c>
      <c r="B89" s="96"/>
      <c r="C89" s="96"/>
      <c r="D89" s="96"/>
      <c r="E89" s="96"/>
      <c r="F89" s="96"/>
      <c r="G89" s="96"/>
      <c r="H89" s="96"/>
      <c r="I89" s="96"/>
      <c r="J89" s="96"/>
      <c r="K89" s="96"/>
      <c r="L89" s="96"/>
      <c r="M89" s="96"/>
      <c r="N89" s="96"/>
      <c r="O89" s="96"/>
      <c r="P89" s="96"/>
      <c r="Q89" s="96"/>
      <c r="R89" s="96"/>
      <c r="S89" s="96"/>
      <c r="T89" s="96"/>
      <c r="U89" s="96"/>
      <c r="V89" s="96"/>
      <c r="W89" s="96"/>
      <c r="X89" s="96"/>
      <c r="Y89" s="96"/>
      <c r="Z89" s="96"/>
      <c r="AA89" s="96"/>
      <c r="AB89" s="96"/>
      <c r="AC89" s="96"/>
    </row>
    <row r="90" spans="1:36" ht="14.1" customHeight="1" x14ac:dyDescent="0.2">
      <c r="A90" s="96"/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6"/>
      <c r="AB90" s="96"/>
      <c r="AC90" s="96"/>
    </row>
    <row r="91" spans="1:36" ht="14.1" customHeight="1" x14ac:dyDescent="0.2">
      <c r="A91" s="96"/>
      <c r="B91" s="96"/>
      <c r="C91" s="96"/>
      <c r="D91" s="96"/>
      <c r="E91" s="96"/>
      <c r="F91" s="96"/>
      <c r="G91" s="96"/>
      <c r="H91" s="96"/>
      <c r="I91" s="96"/>
      <c r="J91" s="96"/>
      <c r="K91" s="96"/>
      <c r="L91" s="96"/>
      <c r="M91" s="96"/>
      <c r="N91" s="96"/>
      <c r="O91" s="96"/>
      <c r="P91" s="96"/>
      <c r="Q91" s="96"/>
      <c r="R91" s="96"/>
      <c r="S91" s="96"/>
      <c r="T91" s="96"/>
      <c r="U91" s="96"/>
      <c r="V91" s="96"/>
      <c r="W91" s="96"/>
      <c r="X91" s="96"/>
      <c r="Y91" s="96"/>
      <c r="Z91" s="96"/>
      <c r="AA91" s="96"/>
      <c r="AB91" s="96"/>
      <c r="AC91" s="96"/>
    </row>
    <row r="92" spans="1:36" ht="14.1" customHeight="1" x14ac:dyDescent="0.2">
      <c r="A92" s="96"/>
      <c r="B92" s="96"/>
      <c r="C92" s="96"/>
      <c r="D92" s="96"/>
      <c r="E92" s="96"/>
      <c r="F92" s="96"/>
      <c r="G92" s="96"/>
      <c r="H92" s="96"/>
      <c r="I92" s="96"/>
      <c r="J92" s="96"/>
      <c r="K92" s="96"/>
      <c r="L92" s="96"/>
      <c r="M92" s="96"/>
      <c r="N92" s="96"/>
      <c r="O92" s="96"/>
      <c r="P92" s="96"/>
      <c r="Q92" s="96"/>
      <c r="R92" s="96"/>
      <c r="S92" s="96"/>
      <c r="T92" s="96"/>
      <c r="U92" s="96"/>
      <c r="V92" s="96"/>
      <c r="W92" s="96"/>
      <c r="X92" s="96"/>
      <c r="Y92" s="96"/>
      <c r="Z92" s="96"/>
      <c r="AA92" s="96"/>
      <c r="AB92" s="96"/>
      <c r="AC92" s="96"/>
    </row>
    <row r="93" spans="1:36" ht="14.1" customHeight="1" x14ac:dyDescent="0.2"/>
    <row r="94" spans="1:36" ht="14.1" customHeight="1" x14ac:dyDescent="0.2">
      <c r="A94" s="97" t="s">
        <v>100</v>
      </c>
      <c r="B94" s="98"/>
      <c r="C94" s="9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98"/>
      <c r="Q94" s="98"/>
      <c r="R94" s="98"/>
      <c r="S94" s="98"/>
      <c r="T94" s="98"/>
      <c r="U94" s="98"/>
      <c r="V94" s="98"/>
      <c r="W94" s="98"/>
      <c r="X94" s="98"/>
      <c r="Y94" s="98"/>
      <c r="Z94" s="98"/>
      <c r="AA94" s="98"/>
      <c r="AB94" s="98"/>
      <c r="AC94" s="98"/>
    </row>
    <row r="95" spans="1:36" ht="14.1" customHeight="1" x14ac:dyDescent="0.2">
      <c r="A95" s="98"/>
      <c r="B95" s="98"/>
      <c r="C95" s="98"/>
      <c r="D95" s="98"/>
      <c r="E95" s="98"/>
      <c r="F95" s="98"/>
      <c r="G95" s="98"/>
      <c r="H95" s="98"/>
      <c r="I95" s="98"/>
      <c r="J95" s="98"/>
      <c r="K95" s="98"/>
      <c r="L95" s="98"/>
      <c r="M95" s="98"/>
      <c r="N95" s="98"/>
      <c r="O95" s="98"/>
      <c r="P95" s="98"/>
      <c r="Q95" s="98"/>
      <c r="R95" s="98"/>
      <c r="S95" s="98"/>
      <c r="T95" s="98"/>
      <c r="U95" s="98"/>
      <c r="V95" s="98"/>
      <c r="W95" s="98"/>
      <c r="X95" s="98"/>
      <c r="Y95" s="98"/>
      <c r="Z95" s="98"/>
      <c r="AA95" s="98"/>
      <c r="AB95" s="98"/>
      <c r="AC95" s="98"/>
    </row>
    <row r="96" spans="1:36" ht="14.1" customHeight="1" x14ac:dyDescent="0.2">
      <c r="A96" s="98"/>
      <c r="B96" s="98"/>
      <c r="C96" s="9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98"/>
      <c r="AC96" s="98"/>
    </row>
    <row r="97" spans="1:36" ht="14.1" customHeight="1" x14ac:dyDescent="0.2">
      <c r="A97" s="98"/>
      <c r="B97" s="98"/>
      <c r="C97" s="98"/>
      <c r="D97" s="98"/>
      <c r="E97" s="98"/>
      <c r="F97" s="98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</row>
    <row r="98" spans="1:36" ht="14.1" customHeight="1" x14ac:dyDescent="0.2">
      <c r="A98" s="98"/>
      <c r="B98" s="98"/>
      <c r="C98" s="98"/>
      <c r="D98" s="98"/>
      <c r="E98" s="98"/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</row>
    <row r="99" spans="1:36" ht="14.1" customHeight="1" x14ac:dyDescent="0.2">
      <c r="A99" s="98"/>
      <c r="B99" s="98"/>
      <c r="C99" s="98"/>
      <c r="D99" s="98"/>
      <c r="E99" s="98"/>
      <c r="F99" s="98"/>
      <c r="G99" s="98"/>
      <c r="H99" s="98"/>
      <c r="I99" s="98"/>
      <c r="J99" s="98"/>
      <c r="K99" s="98"/>
      <c r="L99" s="98"/>
      <c r="M99" s="98"/>
      <c r="N99" s="98"/>
      <c r="O99" s="98"/>
      <c r="P99" s="98"/>
      <c r="Q99" s="98"/>
      <c r="R99" s="98"/>
      <c r="S99" s="98"/>
      <c r="T99" s="98"/>
      <c r="U99" s="98"/>
      <c r="V99" s="98"/>
      <c r="W99" s="98"/>
      <c r="X99" s="98"/>
      <c r="Y99" s="98"/>
      <c r="Z99" s="98"/>
      <c r="AA99" s="98"/>
      <c r="AB99" s="98"/>
      <c r="AC99" s="98"/>
    </row>
    <row r="100" spans="1:36" ht="14.1" customHeight="1" x14ac:dyDescent="0.2">
      <c r="A100" s="98"/>
      <c r="B100" s="98"/>
      <c r="C100" s="98"/>
      <c r="D100" s="98"/>
      <c r="E100" s="98"/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  <c r="AA100" s="98"/>
      <c r="AB100" s="98"/>
      <c r="AC100" s="98"/>
    </row>
    <row r="101" spans="1:36" ht="14.1" customHeight="1" x14ac:dyDescent="0.2">
      <c r="A101" s="98"/>
      <c r="B101" s="98"/>
      <c r="C101" s="98"/>
      <c r="D101" s="98"/>
      <c r="E101" s="98"/>
      <c r="F101" s="98"/>
      <c r="G101" s="98"/>
      <c r="H101" s="98"/>
      <c r="I101" s="98"/>
      <c r="J101" s="98"/>
      <c r="K101" s="98"/>
      <c r="L101" s="98"/>
      <c r="M101" s="98"/>
      <c r="N101" s="98"/>
      <c r="O101" s="98"/>
      <c r="P101" s="98"/>
      <c r="Q101" s="98"/>
      <c r="R101" s="98"/>
      <c r="S101" s="98"/>
      <c r="T101" s="98"/>
      <c r="U101" s="98"/>
      <c r="V101" s="98"/>
      <c r="W101" s="98"/>
      <c r="X101" s="98"/>
      <c r="Y101" s="98"/>
      <c r="Z101" s="98"/>
      <c r="AA101" s="98"/>
      <c r="AB101" s="98"/>
      <c r="AC101" s="98"/>
    </row>
    <row r="102" spans="1:36" ht="24.95" customHeight="1" x14ac:dyDescent="0.25">
      <c r="A102" s="89" t="s">
        <v>103</v>
      </c>
      <c r="B102" s="90"/>
      <c r="C102" s="90"/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Q102" s="90"/>
      <c r="R102" s="90"/>
      <c r="S102" s="90"/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90"/>
      <c r="AJ102" s="90"/>
    </row>
    <row r="103" spans="1:36" ht="120" customHeight="1" x14ac:dyDescent="0.2">
      <c r="A103" s="91" t="s">
        <v>127</v>
      </c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</row>
    <row r="104" spans="1:36" ht="14.1" customHeight="1" x14ac:dyDescent="0.2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</row>
    <row r="105" spans="1:36" ht="14.1" customHeight="1" x14ac:dyDescent="0.2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</row>
    <row r="106" spans="1:36" ht="14.1" customHeight="1" thickBot="1" x14ac:dyDescent="0.25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</row>
    <row r="107" spans="1:36" ht="99" customHeight="1" x14ac:dyDescent="0.2">
      <c r="A107" s="73" t="s">
        <v>1</v>
      </c>
      <c r="B107" s="93" t="s">
        <v>39</v>
      </c>
      <c r="C107" s="94"/>
      <c r="D107" s="94"/>
      <c r="E107" s="94"/>
      <c r="F107" s="94"/>
      <c r="G107" s="94"/>
      <c r="H107" s="95"/>
      <c r="I107" s="93" t="s">
        <v>93</v>
      </c>
      <c r="J107" s="94"/>
      <c r="K107" s="95"/>
      <c r="L107" s="93" t="s">
        <v>94</v>
      </c>
      <c r="M107" s="94"/>
      <c r="N107" s="95"/>
      <c r="O107" s="93" t="s">
        <v>95</v>
      </c>
      <c r="P107" s="94"/>
      <c r="Q107" s="95"/>
      <c r="R107" s="66"/>
      <c r="S107" s="67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8"/>
      <c r="AG107" s="68"/>
      <c r="AH107" s="68"/>
      <c r="AI107" s="68"/>
      <c r="AJ107" s="68"/>
    </row>
    <row r="108" spans="1:36" ht="14.1" customHeight="1" x14ac:dyDescent="0.2">
      <c r="A108" s="69" t="s">
        <v>2</v>
      </c>
      <c r="B108" s="69">
        <v>1</v>
      </c>
      <c r="C108" s="69">
        <v>2</v>
      </c>
      <c r="D108" s="69">
        <v>3</v>
      </c>
      <c r="E108" s="69">
        <v>4</v>
      </c>
      <c r="F108" s="69">
        <v>5</v>
      </c>
      <c r="G108" s="69">
        <v>6</v>
      </c>
      <c r="H108" s="69">
        <v>7</v>
      </c>
      <c r="I108" s="69">
        <v>8</v>
      </c>
      <c r="J108" s="69">
        <v>9</v>
      </c>
      <c r="K108" s="69">
        <v>10</v>
      </c>
      <c r="L108" s="69">
        <v>11</v>
      </c>
      <c r="M108" s="69">
        <v>12</v>
      </c>
      <c r="N108" s="69">
        <v>13</v>
      </c>
      <c r="O108" s="69">
        <v>14</v>
      </c>
      <c r="P108" s="69">
        <v>15</v>
      </c>
      <c r="Q108" s="69">
        <v>16</v>
      </c>
      <c r="R108" s="69" t="s">
        <v>4</v>
      </c>
      <c r="S108" s="72" t="s">
        <v>17</v>
      </c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</row>
    <row r="109" spans="1:36" ht="14.1" customHeight="1" x14ac:dyDescent="0.2">
      <c r="A109" s="69" t="s">
        <v>3</v>
      </c>
      <c r="B109" s="69">
        <v>1</v>
      </c>
      <c r="C109" s="69">
        <v>1</v>
      </c>
      <c r="D109" s="69">
        <v>1</v>
      </c>
      <c r="E109" s="69">
        <v>1</v>
      </c>
      <c r="F109" s="69">
        <v>1</v>
      </c>
      <c r="G109" s="69">
        <v>1</v>
      </c>
      <c r="H109" s="69">
        <v>3</v>
      </c>
      <c r="I109" s="69">
        <v>1</v>
      </c>
      <c r="J109" s="69">
        <v>1</v>
      </c>
      <c r="K109" s="69">
        <v>1</v>
      </c>
      <c r="L109" s="69">
        <v>1</v>
      </c>
      <c r="M109" s="69">
        <v>1</v>
      </c>
      <c r="N109" s="69">
        <v>1</v>
      </c>
      <c r="O109" s="69">
        <v>1</v>
      </c>
      <c r="P109" s="69">
        <v>1</v>
      </c>
      <c r="Q109" s="69">
        <v>1</v>
      </c>
      <c r="R109" s="69">
        <v>18</v>
      </c>
      <c r="S109" s="72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</row>
    <row r="110" spans="1:36" ht="14.1" customHeight="1" thickBot="1" x14ac:dyDescent="0.25">
      <c r="A110" s="70" t="s">
        <v>92</v>
      </c>
      <c r="B110" s="70">
        <v>1</v>
      </c>
      <c r="C110" s="70">
        <v>1</v>
      </c>
      <c r="D110" s="70">
        <v>1</v>
      </c>
      <c r="E110" s="70">
        <v>1</v>
      </c>
      <c r="F110" s="70">
        <v>1</v>
      </c>
      <c r="G110" s="70">
        <v>1</v>
      </c>
      <c r="H110" s="70">
        <v>3</v>
      </c>
      <c r="I110" s="70">
        <v>0</v>
      </c>
      <c r="J110" s="70">
        <v>0</v>
      </c>
      <c r="K110" s="70">
        <v>0</v>
      </c>
      <c r="L110" s="70">
        <v>1</v>
      </c>
      <c r="M110" s="70">
        <v>1</v>
      </c>
      <c r="N110" s="70">
        <v>0</v>
      </c>
      <c r="O110" s="70">
        <v>0</v>
      </c>
      <c r="P110" s="70">
        <v>1</v>
      </c>
      <c r="Q110" s="70">
        <v>0</v>
      </c>
      <c r="R110" s="70">
        <v>12</v>
      </c>
      <c r="S110" s="71">
        <v>0.66666666666666663</v>
      </c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</row>
    <row r="111" spans="1:36" ht="14.1" customHeight="1" x14ac:dyDescent="0.2"/>
    <row r="112" spans="1:36" ht="23.25" customHeight="1" x14ac:dyDescent="0.25">
      <c r="A112" s="74" t="s">
        <v>123</v>
      </c>
    </row>
    <row r="113" spans="1:36" ht="14.1" customHeight="1" x14ac:dyDescent="0.2"/>
    <row r="114" spans="1:36" ht="14.1" customHeight="1" x14ac:dyDescent="0.2">
      <c r="A114" s="91" t="s">
        <v>99</v>
      </c>
      <c r="B114" s="96"/>
      <c r="C114" s="96"/>
      <c r="D114" s="96"/>
      <c r="E114" s="96"/>
      <c r="F114" s="96"/>
      <c r="G114" s="96"/>
      <c r="H114" s="96"/>
      <c r="I114" s="96"/>
      <c r="J114" s="96"/>
      <c r="K114" s="96"/>
      <c r="L114" s="96"/>
      <c r="M114" s="96"/>
      <c r="N114" s="96"/>
      <c r="O114" s="96"/>
      <c r="P114" s="96"/>
      <c r="Q114" s="96"/>
      <c r="R114" s="96"/>
      <c r="S114" s="96"/>
      <c r="T114" s="96"/>
      <c r="U114" s="96"/>
      <c r="V114" s="96"/>
      <c r="W114" s="96"/>
      <c r="X114" s="96"/>
      <c r="Y114" s="96"/>
      <c r="Z114" s="96"/>
      <c r="AA114" s="96"/>
      <c r="AB114" s="96"/>
      <c r="AC114" s="96"/>
    </row>
    <row r="115" spans="1:36" ht="14.1" customHeight="1" x14ac:dyDescent="0.2">
      <c r="A115" s="96"/>
      <c r="B115" s="96"/>
      <c r="C115" s="96"/>
      <c r="D115" s="96"/>
      <c r="E115" s="96"/>
      <c r="F115" s="96"/>
      <c r="G115" s="96"/>
      <c r="H115" s="96"/>
      <c r="I115" s="96"/>
      <c r="J115" s="96"/>
      <c r="K115" s="96"/>
      <c r="L115" s="96"/>
      <c r="M115" s="96"/>
      <c r="N115" s="96"/>
      <c r="O115" s="96"/>
      <c r="P115" s="96"/>
      <c r="Q115" s="96"/>
      <c r="R115" s="96"/>
      <c r="S115" s="96"/>
      <c r="T115" s="96"/>
      <c r="U115" s="96"/>
      <c r="V115" s="96"/>
      <c r="W115" s="96"/>
      <c r="X115" s="96"/>
      <c r="Y115" s="96"/>
      <c r="Z115" s="96"/>
      <c r="AA115" s="96"/>
      <c r="AB115" s="96"/>
      <c r="AC115" s="96"/>
    </row>
    <row r="116" spans="1:36" ht="14.1" customHeight="1" x14ac:dyDescent="0.2">
      <c r="A116" s="96"/>
      <c r="B116" s="96"/>
      <c r="C116" s="96"/>
      <c r="D116" s="96"/>
      <c r="E116" s="96"/>
      <c r="F116" s="96"/>
      <c r="G116" s="96"/>
      <c r="H116" s="96"/>
      <c r="I116" s="96"/>
      <c r="J116" s="96"/>
      <c r="K116" s="96"/>
      <c r="L116" s="96"/>
      <c r="M116" s="96"/>
      <c r="N116" s="96"/>
      <c r="O116" s="96"/>
      <c r="P116" s="96"/>
      <c r="Q116" s="96"/>
      <c r="R116" s="96"/>
      <c r="S116" s="96"/>
      <c r="T116" s="96"/>
      <c r="U116" s="96"/>
      <c r="V116" s="96"/>
      <c r="W116" s="96"/>
      <c r="X116" s="96"/>
      <c r="Y116" s="96"/>
      <c r="Z116" s="96"/>
      <c r="AA116" s="96"/>
      <c r="AB116" s="96"/>
      <c r="AC116" s="96"/>
    </row>
    <row r="117" spans="1:36" ht="14.1" customHeight="1" x14ac:dyDescent="0.2">
      <c r="A117" s="96"/>
      <c r="B117" s="96"/>
      <c r="C117" s="96"/>
      <c r="D117" s="96"/>
      <c r="E117" s="96"/>
      <c r="F117" s="96"/>
      <c r="G117" s="96"/>
      <c r="H117" s="96"/>
      <c r="I117" s="96"/>
      <c r="J117" s="96"/>
      <c r="K117" s="96"/>
      <c r="L117" s="96"/>
      <c r="M117" s="96"/>
      <c r="N117" s="96"/>
      <c r="O117" s="96"/>
      <c r="P117" s="96"/>
      <c r="Q117" s="96"/>
      <c r="R117" s="96"/>
      <c r="S117" s="96"/>
      <c r="T117" s="96"/>
      <c r="U117" s="96"/>
      <c r="V117" s="96"/>
      <c r="W117" s="96"/>
      <c r="X117" s="96"/>
      <c r="Y117" s="96"/>
      <c r="Z117" s="96"/>
      <c r="AA117" s="96"/>
      <c r="AB117" s="96"/>
      <c r="AC117" s="96"/>
    </row>
    <row r="118" spans="1:36" ht="14.1" customHeight="1" x14ac:dyDescent="0.2"/>
    <row r="119" spans="1:36" ht="14.1" customHeight="1" x14ac:dyDescent="0.2">
      <c r="A119" s="97" t="s">
        <v>100</v>
      </c>
      <c r="B119" s="98"/>
      <c r="C119" s="98"/>
      <c r="D119" s="98"/>
      <c r="E119" s="98"/>
      <c r="F119" s="98"/>
      <c r="G119" s="98"/>
      <c r="H119" s="98"/>
      <c r="I119" s="98"/>
      <c r="J119" s="98"/>
      <c r="K119" s="98"/>
      <c r="L119" s="98"/>
      <c r="M119" s="98"/>
      <c r="N119" s="98"/>
      <c r="O119" s="98"/>
      <c r="P119" s="98"/>
      <c r="Q119" s="98"/>
      <c r="R119" s="98"/>
      <c r="S119" s="98"/>
      <c r="T119" s="98"/>
      <c r="U119" s="98"/>
      <c r="V119" s="98"/>
      <c r="W119" s="98"/>
      <c r="X119" s="98"/>
      <c r="Y119" s="98"/>
      <c r="Z119" s="98"/>
      <c r="AA119" s="98"/>
      <c r="AB119" s="98"/>
      <c r="AC119" s="98"/>
    </row>
    <row r="120" spans="1:36" ht="14.1" customHeight="1" x14ac:dyDescent="0.2">
      <c r="A120" s="98"/>
      <c r="B120" s="98"/>
      <c r="C120" s="98"/>
      <c r="D120" s="98"/>
      <c r="E120" s="98"/>
      <c r="F120" s="98"/>
      <c r="G120" s="98"/>
      <c r="H120" s="98"/>
      <c r="I120" s="98"/>
      <c r="J120" s="98"/>
      <c r="K120" s="98"/>
      <c r="L120" s="98"/>
      <c r="M120" s="98"/>
      <c r="N120" s="98"/>
      <c r="O120" s="98"/>
      <c r="P120" s="98"/>
      <c r="Q120" s="98"/>
      <c r="R120" s="98"/>
      <c r="S120" s="98"/>
      <c r="T120" s="98"/>
      <c r="U120" s="98"/>
      <c r="V120" s="98"/>
      <c r="W120" s="98"/>
      <c r="X120" s="98"/>
      <c r="Y120" s="98"/>
      <c r="Z120" s="98"/>
      <c r="AA120" s="98"/>
      <c r="AB120" s="98"/>
      <c r="AC120" s="98"/>
    </row>
    <row r="121" spans="1:36" ht="14.1" customHeight="1" x14ac:dyDescent="0.2">
      <c r="A121" s="98"/>
      <c r="B121" s="98"/>
      <c r="C121" s="98"/>
      <c r="D121" s="98"/>
      <c r="E121" s="98"/>
      <c r="F121" s="98"/>
      <c r="G121" s="98"/>
      <c r="H121" s="98"/>
      <c r="I121" s="98"/>
      <c r="J121" s="98"/>
      <c r="K121" s="98"/>
      <c r="L121" s="98"/>
      <c r="M121" s="98"/>
      <c r="N121" s="98"/>
      <c r="O121" s="98"/>
      <c r="P121" s="98"/>
      <c r="Q121" s="98"/>
      <c r="R121" s="98"/>
      <c r="S121" s="98"/>
      <c r="T121" s="98"/>
      <c r="U121" s="98"/>
      <c r="V121" s="98"/>
      <c r="W121" s="98"/>
      <c r="X121" s="98"/>
      <c r="Y121" s="98"/>
      <c r="Z121" s="98"/>
      <c r="AA121" s="98"/>
      <c r="AB121" s="98"/>
      <c r="AC121" s="98"/>
    </row>
    <row r="122" spans="1:36" ht="14.1" customHeight="1" x14ac:dyDescent="0.2">
      <c r="A122" s="98"/>
      <c r="B122" s="98"/>
      <c r="C122" s="98"/>
      <c r="D122" s="98"/>
      <c r="E122" s="98"/>
      <c r="F122" s="98"/>
      <c r="G122" s="98"/>
      <c r="H122" s="98"/>
      <c r="I122" s="98"/>
      <c r="J122" s="98"/>
      <c r="K122" s="98"/>
      <c r="L122" s="98"/>
      <c r="M122" s="98"/>
      <c r="N122" s="98"/>
      <c r="O122" s="98"/>
      <c r="P122" s="98"/>
      <c r="Q122" s="98"/>
      <c r="R122" s="98"/>
      <c r="S122" s="98"/>
      <c r="T122" s="98"/>
      <c r="U122" s="98"/>
      <c r="V122" s="98"/>
      <c r="W122" s="98"/>
      <c r="X122" s="98"/>
      <c r="Y122" s="98"/>
      <c r="Z122" s="98"/>
      <c r="AA122" s="98"/>
      <c r="AB122" s="98"/>
      <c r="AC122" s="98"/>
    </row>
    <row r="123" spans="1:36" ht="14.1" customHeight="1" x14ac:dyDescent="0.2">
      <c r="A123" s="98"/>
      <c r="B123" s="98"/>
      <c r="C123" s="98"/>
      <c r="D123" s="98"/>
      <c r="E123" s="98"/>
      <c r="F123" s="98"/>
      <c r="G123" s="98"/>
      <c r="H123" s="98"/>
      <c r="I123" s="98"/>
      <c r="J123" s="98"/>
      <c r="K123" s="98"/>
      <c r="L123" s="98"/>
      <c r="M123" s="98"/>
      <c r="N123" s="98"/>
      <c r="O123" s="98"/>
      <c r="P123" s="98"/>
      <c r="Q123" s="98"/>
      <c r="R123" s="98"/>
      <c r="S123" s="98"/>
      <c r="T123" s="98"/>
      <c r="U123" s="98"/>
      <c r="V123" s="98"/>
      <c r="W123" s="98"/>
      <c r="X123" s="98"/>
      <c r="Y123" s="98"/>
      <c r="Z123" s="98"/>
      <c r="AA123" s="98"/>
      <c r="AB123" s="98"/>
      <c r="AC123" s="98"/>
    </row>
    <row r="124" spans="1:36" ht="14.1" customHeight="1" x14ac:dyDescent="0.2">
      <c r="A124" s="98"/>
      <c r="B124" s="98"/>
      <c r="C124" s="98"/>
      <c r="D124" s="98"/>
      <c r="E124" s="98"/>
      <c r="F124" s="98"/>
      <c r="G124" s="98"/>
      <c r="H124" s="98"/>
      <c r="I124" s="98"/>
      <c r="J124" s="98"/>
      <c r="K124" s="98"/>
      <c r="L124" s="98"/>
      <c r="M124" s="98"/>
      <c r="N124" s="98"/>
      <c r="O124" s="98"/>
      <c r="P124" s="98"/>
      <c r="Q124" s="98"/>
      <c r="R124" s="98"/>
      <c r="S124" s="98"/>
      <c r="T124" s="98"/>
      <c r="U124" s="98"/>
      <c r="V124" s="98"/>
      <c r="W124" s="98"/>
      <c r="X124" s="98"/>
      <c r="Y124" s="98"/>
      <c r="Z124" s="98"/>
      <c r="AA124" s="98"/>
      <c r="AB124" s="98"/>
      <c r="AC124" s="98"/>
    </row>
    <row r="125" spans="1:36" ht="14.1" customHeight="1" x14ac:dyDescent="0.2">
      <c r="A125" s="98"/>
      <c r="B125" s="98"/>
      <c r="C125" s="98"/>
      <c r="D125" s="98"/>
      <c r="E125" s="98"/>
      <c r="F125" s="98"/>
      <c r="G125" s="98"/>
      <c r="H125" s="98"/>
      <c r="I125" s="98"/>
      <c r="J125" s="98"/>
      <c r="K125" s="98"/>
      <c r="L125" s="98"/>
      <c r="M125" s="98"/>
      <c r="N125" s="98"/>
      <c r="O125" s="98"/>
      <c r="P125" s="98"/>
      <c r="Q125" s="98"/>
      <c r="R125" s="98"/>
      <c r="S125" s="98"/>
      <c r="T125" s="98"/>
      <c r="U125" s="98"/>
      <c r="V125" s="98"/>
      <c r="W125" s="98"/>
      <c r="X125" s="98"/>
      <c r="Y125" s="98"/>
      <c r="Z125" s="98"/>
      <c r="AA125" s="98"/>
      <c r="AB125" s="98"/>
      <c r="AC125" s="98"/>
    </row>
    <row r="126" spans="1:36" ht="14.1" customHeight="1" x14ac:dyDescent="0.2">
      <c r="A126" s="98"/>
      <c r="B126" s="98"/>
      <c r="C126" s="98"/>
      <c r="D126" s="98"/>
      <c r="E126" s="98"/>
      <c r="F126" s="98"/>
      <c r="G126" s="98"/>
      <c r="H126" s="98"/>
      <c r="I126" s="98"/>
      <c r="J126" s="98"/>
      <c r="K126" s="98"/>
      <c r="L126" s="98"/>
      <c r="M126" s="98"/>
      <c r="N126" s="98"/>
      <c r="O126" s="98"/>
      <c r="P126" s="98"/>
      <c r="Q126" s="98"/>
      <c r="R126" s="98"/>
      <c r="S126" s="98"/>
      <c r="T126" s="98"/>
      <c r="U126" s="98"/>
      <c r="V126" s="98"/>
      <c r="W126" s="98"/>
      <c r="X126" s="98"/>
      <c r="Y126" s="98"/>
      <c r="Z126" s="98"/>
      <c r="AA126" s="98"/>
      <c r="AB126" s="98"/>
      <c r="AC126" s="98"/>
    </row>
    <row r="127" spans="1:36" ht="24.95" customHeight="1" x14ac:dyDescent="0.25">
      <c r="A127" s="89" t="s">
        <v>103</v>
      </c>
      <c r="B127" s="90"/>
      <c r="C127" s="90"/>
      <c r="D127" s="90"/>
      <c r="E127" s="90"/>
      <c r="F127" s="90"/>
      <c r="G127" s="90"/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  <c r="AA127" s="90"/>
      <c r="AB127" s="90"/>
      <c r="AC127" s="90"/>
      <c r="AD127" s="90"/>
      <c r="AE127" s="90"/>
      <c r="AF127" s="90"/>
      <c r="AG127" s="90"/>
      <c r="AH127" s="90"/>
      <c r="AI127" s="90"/>
      <c r="AJ127" s="90"/>
    </row>
    <row r="128" spans="1:36" ht="120" customHeight="1" x14ac:dyDescent="0.2">
      <c r="A128" s="91" t="s">
        <v>128</v>
      </c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</row>
    <row r="129" spans="1:36" ht="14.1" customHeight="1" x14ac:dyDescent="0.2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</row>
    <row r="130" spans="1:36" ht="14.1" customHeight="1" x14ac:dyDescent="0.2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</row>
    <row r="131" spans="1:36" ht="14.1" customHeight="1" thickBot="1" x14ac:dyDescent="0.25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</row>
    <row r="132" spans="1:36" ht="99" customHeight="1" x14ac:dyDescent="0.2">
      <c r="A132" s="73" t="s">
        <v>1</v>
      </c>
      <c r="B132" s="93" t="s">
        <v>39</v>
      </c>
      <c r="C132" s="94"/>
      <c r="D132" s="94"/>
      <c r="E132" s="94"/>
      <c r="F132" s="94"/>
      <c r="G132" s="94"/>
      <c r="H132" s="95"/>
      <c r="I132" s="93" t="s">
        <v>93</v>
      </c>
      <c r="J132" s="94"/>
      <c r="K132" s="95"/>
      <c r="L132" s="93" t="s">
        <v>94</v>
      </c>
      <c r="M132" s="94"/>
      <c r="N132" s="95"/>
      <c r="O132" s="93" t="s">
        <v>95</v>
      </c>
      <c r="P132" s="94"/>
      <c r="Q132" s="95"/>
      <c r="R132" s="66"/>
      <c r="S132" s="67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8"/>
      <c r="AG132" s="68"/>
      <c r="AH132" s="68"/>
      <c r="AI132" s="68"/>
      <c r="AJ132" s="68"/>
    </row>
    <row r="133" spans="1:36" ht="14.1" customHeight="1" x14ac:dyDescent="0.2">
      <c r="A133" s="69" t="s">
        <v>2</v>
      </c>
      <c r="B133" s="69">
        <v>1</v>
      </c>
      <c r="C133" s="69">
        <v>2</v>
      </c>
      <c r="D133" s="69">
        <v>3</v>
      </c>
      <c r="E133" s="69">
        <v>4</v>
      </c>
      <c r="F133" s="69">
        <v>5</v>
      </c>
      <c r="G133" s="69">
        <v>6</v>
      </c>
      <c r="H133" s="69">
        <v>7</v>
      </c>
      <c r="I133" s="69">
        <v>8</v>
      </c>
      <c r="J133" s="69">
        <v>9</v>
      </c>
      <c r="K133" s="69">
        <v>10</v>
      </c>
      <c r="L133" s="69">
        <v>11</v>
      </c>
      <c r="M133" s="69">
        <v>12</v>
      </c>
      <c r="N133" s="69">
        <v>13</v>
      </c>
      <c r="O133" s="69">
        <v>14</v>
      </c>
      <c r="P133" s="69">
        <v>15</v>
      </c>
      <c r="Q133" s="69">
        <v>16</v>
      </c>
      <c r="R133" s="69" t="s">
        <v>4</v>
      </c>
      <c r="S133" s="72" t="s">
        <v>17</v>
      </c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</row>
    <row r="134" spans="1:36" ht="14.1" customHeight="1" x14ac:dyDescent="0.2">
      <c r="A134" s="69" t="s">
        <v>3</v>
      </c>
      <c r="B134" s="69">
        <v>1</v>
      </c>
      <c r="C134" s="69">
        <v>1</v>
      </c>
      <c r="D134" s="69">
        <v>1</v>
      </c>
      <c r="E134" s="69">
        <v>1</v>
      </c>
      <c r="F134" s="69">
        <v>1</v>
      </c>
      <c r="G134" s="69">
        <v>1</v>
      </c>
      <c r="H134" s="69">
        <v>3</v>
      </c>
      <c r="I134" s="69">
        <v>1</v>
      </c>
      <c r="J134" s="69">
        <v>1</v>
      </c>
      <c r="K134" s="69">
        <v>1</v>
      </c>
      <c r="L134" s="69">
        <v>1</v>
      </c>
      <c r="M134" s="69">
        <v>1</v>
      </c>
      <c r="N134" s="69">
        <v>1</v>
      </c>
      <c r="O134" s="69">
        <v>1</v>
      </c>
      <c r="P134" s="69">
        <v>1</v>
      </c>
      <c r="Q134" s="69">
        <v>1</v>
      </c>
      <c r="R134" s="69">
        <v>18</v>
      </c>
      <c r="S134" s="72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</row>
    <row r="135" spans="1:36" ht="14.1" customHeight="1" thickBot="1" x14ac:dyDescent="0.25">
      <c r="A135" s="70" t="s">
        <v>92</v>
      </c>
      <c r="B135" s="70">
        <v>1</v>
      </c>
      <c r="C135" s="70">
        <v>1</v>
      </c>
      <c r="D135" s="70">
        <v>1</v>
      </c>
      <c r="E135" s="70">
        <v>1</v>
      </c>
      <c r="F135" s="70">
        <v>1</v>
      </c>
      <c r="G135" s="70">
        <v>1</v>
      </c>
      <c r="H135" s="70">
        <v>3</v>
      </c>
      <c r="I135" s="70">
        <v>1</v>
      </c>
      <c r="J135" s="70">
        <v>0</v>
      </c>
      <c r="K135" s="70">
        <v>1</v>
      </c>
      <c r="L135" s="70">
        <v>1</v>
      </c>
      <c r="M135" s="70">
        <v>1</v>
      </c>
      <c r="N135" s="70">
        <v>1</v>
      </c>
      <c r="O135" s="70">
        <v>1</v>
      </c>
      <c r="P135" s="70">
        <v>1</v>
      </c>
      <c r="Q135" s="70">
        <v>1</v>
      </c>
      <c r="R135" s="70">
        <v>17</v>
      </c>
      <c r="S135" s="71">
        <v>0.94444444444444442</v>
      </c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</row>
    <row r="136" spans="1:36" ht="14.1" customHeight="1" x14ac:dyDescent="0.2"/>
    <row r="137" spans="1:36" ht="23.25" customHeight="1" x14ac:dyDescent="0.25">
      <c r="A137" s="74" t="s">
        <v>123</v>
      </c>
    </row>
    <row r="138" spans="1:36" ht="14.1" customHeight="1" x14ac:dyDescent="0.2"/>
    <row r="139" spans="1:36" ht="14.1" customHeight="1" x14ac:dyDescent="0.2">
      <c r="A139" s="91" t="s">
        <v>99</v>
      </c>
      <c r="B139" s="96"/>
      <c r="C139" s="96"/>
      <c r="D139" s="96"/>
      <c r="E139" s="96"/>
      <c r="F139" s="96"/>
      <c r="G139" s="96"/>
      <c r="H139" s="96"/>
      <c r="I139" s="96"/>
      <c r="J139" s="96"/>
      <c r="K139" s="96"/>
      <c r="L139" s="96"/>
      <c r="M139" s="96"/>
      <c r="N139" s="96"/>
      <c r="O139" s="96"/>
      <c r="P139" s="96"/>
      <c r="Q139" s="96"/>
      <c r="R139" s="96"/>
      <c r="S139" s="96"/>
      <c r="T139" s="96"/>
      <c r="U139" s="96"/>
      <c r="V139" s="96"/>
      <c r="W139" s="96"/>
      <c r="X139" s="96"/>
      <c r="Y139" s="96"/>
      <c r="Z139" s="96"/>
      <c r="AA139" s="96"/>
      <c r="AB139" s="96"/>
      <c r="AC139" s="96"/>
    </row>
    <row r="140" spans="1:36" ht="14.1" customHeight="1" x14ac:dyDescent="0.2">
      <c r="A140" s="96"/>
      <c r="B140" s="96"/>
      <c r="C140" s="96"/>
      <c r="D140" s="96"/>
      <c r="E140" s="96"/>
      <c r="F140" s="96"/>
      <c r="G140" s="96"/>
      <c r="H140" s="96"/>
      <c r="I140" s="96"/>
      <c r="J140" s="96"/>
      <c r="K140" s="96"/>
      <c r="L140" s="96"/>
      <c r="M140" s="96"/>
      <c r="N140" s="96"/>
      <c r="O140" s="96"/>
      <c r="P140" s="96"/>
      <c r="Q140" s="96"/>
      <c r="R140" s="96"/>
      <c r="S140" s="96"/>
      <c r="T140" s="96"/>
      <c r="U140" s="96"/>
      <c r="V140" s="96"/>
      <c r="W140" s="96"/>
      <c r="X140" s="96"/>
      <c r="Y140" s="96"/>
      <c r="Z140" s="96"/>
      <c r="AA140" s="96"/>
      <c r="AB140" s="96"/>
      <c r="AC140" s="96"/>
    </row>
    <row r="141" spans="1:36" ht="14.1" customHeight="1" x14ac:dyDescent="0.2">
      <c r="A141" s="96"/>
      <c r="B141" s="96"/>
      <c r="C141" s="96"/>
      <c r="D141" s="96"/>
      <c r="E141" s="96"/>
      <c r="F141" s="96"/>
      <c r="G141" s="96"/>
      <c r="H141" s="96"/>
      <c r="I141" s="96"/>
      <c r="J141" s="96"/>
      <c r="K141" s="96"/>
      <c r="L141" s="96"/>
      <c r="M141" s="96"/>
      <c r="N141" s="96"/>
      <c r="O141" s="96"/>
      <c r="P141" s="96"/>
      <c r="Q141" s="96"/>
      <c r="R141" s="96"/>
      <c r="S141" s="96"/>
      <c r="T141" s="96"/>
      <c r="U141" s="96"/>
      <c r="V141" s="96"/>
      <c r="W141" s="96"/>
      <c r="X141" s="96"/>
      <c r="Y141" s="96"/>
      <c r="Z141" s="96"/>
      <c r="AA141" s="96"/>
      <c r="AB141" s="96"/>
      <c r="AC141" s="96"/>
    </row>
    <row r="142" spans="1:36" ht="14.1" customHeight="1" x14ac:dyDescent="0.2">
      <c r="A142" s="96"/>
      <c r="B142" s="96"/>
      <c r="C142" s="96"/>
      <c r="D142" s="96"/>
      <c r="E142" s="96"/>
      <c r="F142" s="96"/>
      <c r="G142" s="96"/>
      <c r="H142" s="96"/>
      <c r="I142" s="96"/>
      <c r="J142" s="96"/>
      <c r="K142" s="96"/>
      <c r="L142" s="96"/>
      <c r="M142" s="96"/>
      <c r="N142" s="96"/>
      <c r="O142" s="96"/>
      <c r="P142" s="96"/>
      <c r="Q142" s="96"/>
      <c r="R142" s="96"/>
      <c r="S142" s="96"/>
      <c r="T142" s="96"/>
      <c r="U142" s="96"/>
      <c r="V142" s="96"/>
      <c r="W142" s="96"/>
      <c r="X142" s="96"/>
      <c r="Y142" s="96"/>
      <c r="Z142" s="96"/>
      <c r="AA142" s="96"/>
      <c r="AB142" s="96"/>
      <c r="AC142" s="96"/>
    </row>
    <row r="143" spans="1:36" ht="14.1" customHeight="1" x14ac:dyDescent="0.2"/>
    <row r="144" spans="1:36" ht="14.1" customHeight="1" x14ac:dyDescent="0.2">
      <c r="A144" s="97" t="s">
        <v>100</v>
      </c>
      <c r="B144" s="98"/>
      <c r="C144" s="98"/>
      <c r="D144" s="98"/>
      <c r="E144" s="98"/>
      <c r="F144" s="98"/>
      <c r="G144" s="98"/>
      <c r="H144" s="98"/>
      <c r="I144" s="98"/>
      <c r="J144" s="98"/>
      <c r="K144" s="98"/>
      <c r="L144" s="98"/>
      <c r="M144" s="98"/>
      <c r="N144" s="98"/>
      <c r="O144" s="98"/>
      <c r="P144" s="98"/>
      <c r="Q144" s="98"/>
      <c r="R144" s="98"/>
      <c r="S144" s="98"/>
      <c r="T144" s="98"/>
      <c r="U144" s="98"/>
      <c r="V144" s="98"/>
      <c r="W144" s="98"/>
      <c r="X144" s="98"/>
      <c r="Y144" s="98"/>
      <c r="Z144" s="98"/>
      <c r="AA144" s="98"/>
      <c r="AB144" s="98"/>
      <c r="AC144" s="98"/>
    </row>
    <row r="145" spans="1:36" ht="14.1" customHeight="1" x14ac:dyDescent="0.2">
      <c r="A145" s="98"/>
      <c r="B145" s="98"/>
      <c r="C145" s="98"/>
      <c r="D145" s="98"/>
      <c r="E145" s="98"/>
      <c r="F145" s="98"/>
      <c r="G145" s="98"/>
      <c r="H145" s="98"/>
      <c r="I145" s="98"/>
      <c r="J145" s="98"/>
      <c r="K145" s="98"/>
      <c r="L145" s="98"/>
      <c r="M145" s="98"/>
      <c r="N145" s="98"/>
      <c r="O145" s="98"/>
      <c r="P145" s="98"/>
      <c r="Q145" s="98"/>
      <c r="R145" s="98"/>
      <c r="S145" s="98"/>
      <c r="T145" s="98"/>
      <c r="U145" s="98"/>
      <c r="V145" s="98"/>
      <c r="W145" s="98"/>
      <c r="X145" s="98"/>
      <c r="Y145" s="98"/>
      <c r="Z145" s="98"/>
      <c r="AA145" s="98"/>
      <c r="AB145" s="98"/>
      <c r="AC145" s="98"/>
    </row>
    <row r="146" spans="1:36" ht="14.1" customHeight="1" x14ac:dyDescent="0.2">
      <c r="A146" s="98"/>
      <c r="B146" s="98"/>
      <c r="C146" s="98"/>
      <c r="D146" s="98"/>
      <c r="E146" s="98"/>
      <c r="F146" s="98"/>
      <c r="G146" s="98"/>
      <c r="H146" s="98"/>
      <c r="I146" s="98"/>
      <c r="J146" s="98"/>
      <c r="K146" s="98"/>
      <c r="L146" s="98"/>
      <c r="M146" s="98"/>
      <c r="N146" s="98"/>
      <c r="O146" s="98"/>
      <c r="P146" s="98"/>
      <c r="Q146" s="98"/>
      <c r="R146" s="98"/>
      <c r="S146" s="98"/>
      <c r="T146" s="98"/>
      <c r="U146" s="98"/>
      <c r="V146" s="98"/>
      <c r="W146" s="98"/>
      <c r="X146" s="98"/>
      <c r="Y146" s="98"/>
      <c r="Z146" s="98"/>
      <c r="AA146" s="98"/>
      <c r="AB146" s="98"/>
      <c r="AC146" s="98"/>
    </row>
    <row r="147" spans="1:36" ht="14.1" customHeight="1" x14ac:dyDescent="0.2">
      <c r="A147" s="98"/>
      <c r="B147" s="98"/>
      <c r="C147" s="98"/>
      <c r="D147" s="98"/>
      <c r="E147" s="98"/>
      <c r="F147" s="98"/>
      <c r="G147" s="98"/>
      <c r="H147" s="98"/>
      <c r="I147" s="98"/>
      <c r="J147" s="98"/>
      <c r="K147" s="98"/>
      <c r="L147" s="98"/>
      <c r="M147" s="98"/>
      <c r="N147" s="98"/>
      <c r="O147" s="98"/>
      <c r="P147" s="98"/>
      <c r="Q147" s="98"/>
      <c r="R147" s="98"/>
      <c r="S147" s="98"/>
      <c r="T147" s="98"/>
      <c r="U147" s="98"/>
      <c r="V147" s="98"/>
      <c r="W147" s="98"/>
      <c r="X147" s="98"/>
      <c r="Y147" s="98"/>
      <c r="Z147" s="98"/>
      <c r="AA147" s="98"/>
      <c r="AB147" s="98"/>
      <c r="AC147" s="98"/>
    </row>
    <row r="148" spans="1:36" ht="14.1" customHeight="1" x14ac:dyDescent="0.2">
      <c r="A148" s="98"/>
      <c r="B148" s="98"/>
      <c r="C148" s="98"/>
      <c r="D148" s="98"/>
      <c r="E148" s="98"/>
      <c r="F148" s="98"/>
      <c r="G148" s="98"/>
      <c r="H148" s="98"/>
      <c r="I148" s="98"/>
      <c r="J148" s="98"/>
      <c r="K148" s="98"/>
      <c r="L148" s="98"/>
      <c r="M148" s="98"/>
      <c r="N148" s="98"/>
      <c r="O148" s="98"/>
      <c r="P148" s="98"/>
      <c r="Q148" s="98"/>
      <c r="R148" s="98"/>
      <c r="S148" s="98"/>
      <c r="T148" s="98"/>
      <c r="U148" s="98"/>
      <c r="V148" s="98"/>
      <c r="W148" s="98"/>
      <c r="X148" s="98"/>
      <c r="Y148" s="98"/>
      <c r="Z148" s="98"/>
      <c r="AA148" s="98"/>
      <c r="AB148" s="98"/>
      <c r="AC148" s="98"/>
    </row>
    <row r="149" spans="1:36" ht="14.1" customHeight="1" x14ac:dyDescent="0.2">
      <c r="A149" s="98"/>
      <c r="B149" s="98"/>
      <c r="C149" s="98"/>
      <c r="D149" s="98"/>
      <c r="E149" s="98"/>
      <c r="F149" s="98"/>
      <c r="G149" s="98"/>
      <c r="H149" s="98"/>
      <c r="I149" s="98"/>
      <c r="J149" s="98"/>
      <c r="K149" s="98"/>
      <c r="L149" s="98"/>
      <c r="M149" s="98"/>
      <c r="N149" s="98"/>
      <c r="O149" s="98"/>
      <c r="P149" s="98"/>
      <c r="Q149" s="98"/>
      <c r="R149" s="98"/>
      <c r="S149" s="98"/>
      <c r="T149" s="98"/>
      <c r="U149" s="98"/>
      <c r="V149" s="98"/>
      <c r="W149" s="98"/>
      <c r="X149" s="98"/>
      <c r="Y149" s="98"/>
      <c r="Z149" s="98"/>
      <c r="AA149" s="98"/>
      <c r="AB149" s="98"/>
      <c r="AC149" s="98"/>
    </row>
    <row r="150" spans="1:36" ht="14.1" customHeight="1" x14ac:dyDescent="0.2">
      <c r="A150" s="98"/>
      <c r="B150" s="98"/>
      <c r="C150" s="98"/>
      <c r="D150" s="98"/>
      <c r="E150" s="98"/>
      <c r="F150" s="98"/>
      <c r="G150" s="98"/>
      <c r="H150" s="98"/>
      <c r="I150" s="98"/>
      <c r="J150" s="98"/>
      <c r="K150" s="98"/>
      <c r="L150" s="98"/>
      <c r="M150" s="98"/>
      <c r="N150" s="98"/>
      <c r="O150" s="98"/>
      <c r="P150" s="98"/>
      <c r="Q150" s="98"/>
      <c r="R150" s="98"/>
      <c r="S150" s="98"/>
      <c r="T150" s="98"/>
      <c r="U150" s="98"/>
      <c r="V150" s="98"/>
      <c r="W150" s="98"/>
      <c r="X150" s="98"/>
      <c r="Y150" s="98"/>
      <c r="Z150" s="98"/>
      <c r="AA150" s="98"/>
      <c r="AB150" s="98"/>
      <c r="AC150" s="98"/>
    </row>
    <row r="151" spans="1:36" ht="14.1" customHeight="1" x14ac:dyDescent="0.2">
      <c r="A151" s="98"/>
      <c r="B151" s="98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8"/>
      <c r="N151" s="98"/>
      <c r="O151" s="98"/>
      <c r="P151" s="98"/>
      <c r="Q151" s="98"/>
      <c r="R151" s="98"/>
      <c r="S151" s="98"/>
      <c r="T151" s="98"/>
      <c r="U151" s="98"/>
      <c r="V151" s="98"/>
      <c r="W151" s="98"/>
      <c r="X151" s="98"/>
      <c r="Y151" s="98"/>
      <c r="Z151" s="98"/>
      <c r="AA151" s="98"/>
      <c r="AB151" s="98"/>
      <c r="AC151" s="98"/>
    </row>
    <row r="152" spans="1:36" ht="24.95" customHeight="1" x14ac:dyDescent="0.25">
      <c r="A152" s="89" t="s">
        <v>103</v>
      </c>
      <c r="B152" s="90"/>
      <c r="C152" s="90"/>
      <c r="D152" s="90"/>
      <c r="E152" s="90"/>
      <c r="F152" s="90"/>
      <c r="G152" s="90"/>
      <c r="H152" s="90"/>
      <c r="I152" s="90"/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  <c r="AI152" s="90"/>
      <c r="AJ152" s="90"/>
    </row>
    <row r="153" spans="1:36" ht="120" customHeight="1" x14ac:dyDescent="0.2">
      <c r="A153" s="91" t="s">
        <v>129</v>
      </c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2"/>
      <c r="AC153" s="92"/>
    </row>
    <row r="154" spans="1:36" ht="14.1" customHeight="1" x14ac:dyDescent="0.2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  <c r="AB154" s="92"/>
      <c r="AC154" s="92"/>
    </row>
    <row r="155" spans="1:36" ht="14.1" customHeight="1" x14ac:dyDescent="0.2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  <c r="AB155" s="92"/>
      <c r="AC155" s="92"/>
    </row>
    <row r="156" spans="1:36" ht="14.1" customHeight="1" thickBot="1" x14ac:dyDescent="0.25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  <c r="AB156" s="92"/>
      <c r="AC156" s="92"/>
    </row>
    <row r="157" spans="1:36" ht="99" customHeight="1" x14ac:dyDescent="0.2">
      <c r="A157" s="73" t="s">
        <v>1</v>
      </c>
      <c r="B157" s="93" t="s">
        <v>39</v>
      </c>
      <c r="C157" s="94"/>
      <c r="D157" s="94"/>
      <c r="E157" s="94"/>
      <c r="F157" s="94"/>
      <c r="G157" s="94"/>
      <c r="H157" s="95"/>
      <c r="I157" s="93" t="s">
        <v>93</v>
      </c>
      <c r="J157" s="94"/>
      <c r="K157" s="95"/>
      <c r="L157" s="93" t="s">
        <v>94</v>
      </c>
      <c r="M157" s="94"/>
      <c r="N157" s="95"/>
      <c r="O157" s="93" t="s">
        <v>95</v>
      </c>
      <c r="P157" s="94"/>
      <c r="Q157" s="95"/>
      <c r="R157" s="66"/>
      <c r="S157" s="67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8"/>
      <c r="AG157" s="68"/>
      <c r="AH157" s="68"/>
      <c r="AI157" s="68"/>
      <c r="AJ157" s="68"/>
    </row>
    <row r="158" spans="1:36" ht="14.1" customHeight="1" x14ac:dyDescent="0.2">
      <c r="A158" s="69" t="s">
        <v>2</v>
      </c>
      <c r="B158" s="69">
        <v>1</v>
      </c>
      <c r="C158" s="69">
        <v>2</v>
      </c>
      <c r="D158" s="69">
        <v>3</v>
      </c>
      <c r="E158" s="69">
        <v>4</v>
      </c>
      <c r="F158" s="69">
        <v>5</v>
      </c>
      <c r="G158" s="69">
        <v>6</v>
      </c>
      <c r="H158" s="69">
        <v>7</v>
      </c>
      <c r="I158" s="69">
        <v>8</v>
      </c>
      <c r="J158" s="69">
        <v>9</v>
      </c>
      <c r="K158" s="69">
        <v>10</v>
      </c>
      <c r="L158" s="69">
        <v>11</v>
      </c>
      <c r="M158" s="69">
        <v>12</v>
      </c>
      <c r="N158" s="69">
        <v>13</v>
      </c>
      <c r="O158" s="69">
        <v>14</v>
      </c>
      <c r="P158" s="69">
        <v>15</v>
      </c>
      <c r="Q158" s="69">
        <v>16</v>
      </c>
      <c r="R158" s="69" t="s">
        <v>4</v>
      </c>
      <c r="S158" s="72" t="s">
        <v>17</v>
      </c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</row>
    <row r="159" spans="1:36" ht="14.1" customHeight="1" x14ac:dyDescent="0.2">
      <c r="A159" s="69" t="s">
        <v>3</v>
      </c>
      <c r="B159" s="69">
        <v>1</v>
      </c>
      <c r="C159" s="69">
        <v>1</v>
      </c>
      <c r="D159" s="69">
        <v>1</v>
      </c>
      <c r="E159" s="69">
        <v>1</v>
      </c>
      <c r="F159" s="69">
        <v>1</v>
      </c>
      <c r="G159" s="69">
        <v>1</v>
      </c>
      <c r="H159" s="69">
        <v>3</v>
      </c>
      <c r="I159" s="69">
        <v>1</v>
      </c>
      <c r="J159" s="69">
        <v>1</v>
      </c>
      <c r="K159" s="69">
        <v>1</v>
      </c>
      <c r="L159" s="69">
        <v>1</v>
      </c>
      <c r="M159" s="69">
        <v>1</v>
      </c>
      <c r="N159" s="69">
        <v>1</v>
      </c>
      <c r="O159" s="69">
        <v>1</v>
      </c>
      <c r="P159" s="69">
        <v>1</v>
      </c>
      <c r="Q159" s="69">
        <v>1</v>
      </c>
      <c r="R159" s="69">
        <v>18</v>
      </c>
      <c r="S159" s="72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</row>
    <row r="160" spans="1:36" ht="14.1" customHeight="1" thickBot="1" x14ac:dyDescent="0.25">
      <c r="A160" s="70" t="s">
        <v>92</v>
      </c>
      <c r="B160" s="70">
        <v>1</v>
      </c>
      <c r="C160" s="70">
        <v>1</v>
      </c>
      <c r="D160" s="70">
        <v>1</v>
      </c>
      <c r="E160" s="70">
        <v>1</v>
      </c>
      <c r="F160" s="70">
        <v>1</v>
      </c>
      <c r="G160" s="70">
        <v>1</v>
      </c>
      <c r="H160" s="70">
        <v>3</v>
      </c>
      <c r="I160" s="70">
        <v>1</v>
      </c>
      <c r="J160" s="70">
        <v>1</v>
      </c>
      <c r="K160" s="70">
        <v>1</v>
      </c>
      <c r="L160" s="70">
        <v>1</v>
      </c>
      <c r="M160" s="70">
        <v>1</v>
      </c>
      <c r="N160" s="70">
        <v>1</v>
      </c>
      <c r="O160" s="70">
        <v>1</v>
      </c>
      <c r="P160" s="70">
        <v>1</v>
      </c>
      <c r="Q160" s="70">
        <v>1</v>
      </c>
      <c r="R160" s="70">
        <v>18</v>
      </c>
      <c r="S160" s="71">
        <v>1</v>
      </c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</row>
    <row r="161" spans="1:29" ht="14.1" customHeight="1" x14ac:dyDescent="0.2"/>
    <row r="162" spans="1:29" ht="23.25" customHeight="1" x14ac:dyDescent="0.25">
      <c r="A162" s="74" t="s">
        <v>123</v>
      </c>
    </row>
    <row r="163" spans="1:29" ht="14.1" customHeight="1" x14ac:dyDescent="0.2"/>
    <row r="164" spans="1:29" ht="14.1" customHeight="1" x14ac:dyDescent="0.2">
      <c r="A164" s="91" t="s">
        <v>99</v>
      </c>
      <c r="B164" s="96"/>
      <c r="C164" s="96"/>
      <c r="D164" s="96"/>
      <c r="E164" s="96"/>
      <c r="F164" s="96"/>
      <c r="G164" s="96"/>
      <c r="H164" s="96"/>
      <c r="I164" s="96"/>
      <c r="J164" s="96"/>
      <c r="K164" s="96"/>
      <c r="L164" s="96"/>
      <c r="M164" s="96"/>
      <c r="N164" s="96"/>
      <c r="O164" s="96"/>
      <c r="P164" s="96"/>
      <c r="Q164" s="96"/>
      <c r="R164" s="96"/>
      <c r="S164" s="96"/>
      <c r="T164" s="96"/>
      <c r="U164" s="96"/>
      <c r="V164" s="96"/>
      <c r="W164" s="96"/>
      <c r="X164" s="96"/>
      <c r="Y164" s="96"/>
      <c r="Z164" s="96"/>
      <c r="AA164" s="96"/>
      <c r="AB164" s="96"/>
      <c r="AC164" s="96"/>
    </row>
    <row r="165" spans="1:29" ht="14.1" customHeight="1" x14ac:dyDescent="0.2">
      <c r="A165" s="96"/>
      <c r="B165" s="96"/>
      <c r="C165" s="96"/>
      <c r="D165" s="96"/>
      <c r="E165" s="96"/>
      <c r="F165" s="96"/>
      <c r="G165" s="96"/>
      <c r="H165" s="96"/>
      <c r="I165" s="96"/>
      <c r="J165" s="96"/>
      <c r="K165" s="96"/>
      <c r="L165" s="96"/>
      <c r="M165" s="96"/>
      <c r="N165" s="96"/>
      <c r="O165" s="96"/>
      <c r="P165" s="96"/>
      <c r="Q165" s="96"/>
      <c r="R165" s="96"/>
      <c r="S165" s="96"/>
      <c r="T165" s="96"/>
      <c r="U165" s="96"/>
      <c r="V165" s="96"/>
      <c r="W165" s="96"/>
      <c r="X165" s="96"/>
      <c r="Y165" s="96"/>
      <c r="Z165" s="96"/>
      <c r="AA165" s="96"/>
      <c r="AB165" s="96"/>
      <c r="AC165" s="96"/>
    </row>
    <row r="166" spans="1:29" ht="14.1" customHeight="1" x14ac:dyDescent="0.2">
      <c r="A166" s="96"/>
      <c r="B166" s="96"/>
      <c r="C166" s="96"/>
      <c r="D166" s="96"/>
      <c r="E166" s="96"/>
      <c r="F166" s="96"/>
      <c r="G166" s="96"/>
      <c r="H166" s="96"/>
      <c r="I166" s="96"/>
      <c r="J166" s="96"/>
      <c r="K166" s="96"/>
      <c r="L166" s="96"/>
      <c r="M166" s="96"/>
      <c r="N166" s="96"/>
      <c r="O166" s="96"/>
      <c r="P166" s="96"/>
      <c r="Q166" s="96"/>
      <c r="R166" s="96"/>
      <c r="S166" s="96"/>
      <c r="T166" s="96"/>
      <c r="U166" s="96"/>
      <c r="V166" s="96"/>
      <c r="W166" s="96"/>
      <c r="X166" s="96"/>
      <c r="Y166" s="96"/>
      <c r="Z166" s="96"/>
      <c r="AA166" s="96"/>
      <c r="AB166" s="96"/>
      <c r="AC166" s="96"/>
    </row>
    <row r="167" spans="1:29" ht="14.1" customHeight="1" x14ac:dyDescent="0.2">
      <c r="A167" s="96"/>
      <c r="B167" s="96"/>
      <c r="C167" s="96"/>
      <c r="D167" s="96"/>
      <c r="E167" s="96"/>
      <c r="F167" s="96"/>
      <c r="G167" s="96"/>
      <c r="H167" s="96"/>
      <c r="I167" s="96"/>
      <c r="J167" s="96"/>
      <c r="K167" s="96"/>
      <c r="L167" s="96"/>
      <c r="M167" s="96"/>
      <c r="N167" s="96"/>
      <c r="O167" s="96"/>
      <c r="P167" s="96"/>
      <c r="Q167" s="96"/>
      <c r="R167" s="96"/>
      <c r="S167" s="96"/>
      <c r="T167" s="96"/>
      <c r="U167" s="96"/>
      <c r="V167" s="96"/>
      <c r="W167" s="96"/>
      <c r="X167" s="96"/>
      <c r="Y167" s="96"/>
      <c r="Z167" s="96"/>
      <c r="AA167" s="96"/>
      <c r="AB167" s="96"/>
      <c r="AC167" s="96"/>
    </row>
    <row r="168" spans="1:29" ht="14.1" customHeight="1" x14ac:dyDescent="0.2"/>
    <row r="169" spans="1:29" ht="14.1" customHeight="1" x14ac:dyDescent="0.2">
      <c r="A169" s="97" t="s">
        <v>100</v>
      </c>
      <c r="B169" s="98"/>
      <c r="C169" s="98"/>
      <c r="D169" s="98"/>
      <c r="E169" s="98"/>
      <c r="F169" s="98"/>
      <c r="G169" s="98"/>
      <c r="H169" s="98"/>
      <c r="I169" s="98"/>
      <c r="J169" s="98"/>
      <c r="K169" s="98"/>
      <c r="L169" s="98"/>
      <c r="M169" s="98"/>
      <c r="N169" s="98"/>
      <c r="O169" s="98"/>
      <c r="P169" s="98"/>
      <c r="Q169" s="98"/>
      <c r="R169" s="98"/>
      <c r="S169" s="98"/>
      <c r="T169" s="98"/>
      <c r="U169" s="98"/>
      <c r="V169" s="98"/>
      <c r="W169" s="98"/>
      <c r="X169" s="98"/>
      <c r="Y169" s="98"/>
      <c r="Z169" s="98"/>
      <c r="AA169" s="98"/>
      <c r="AB169" s="98"/>
      <c r="AC169" s="98"/>
    </row>
    <row r="170" spans="1:29" ht="14.1" customHeight="1" x14ac:dyDescent="0.2">
      <c r="A170" s="98"/>
      <c r="B170" s="98"/>
      <c r="C170" s="98"/>
      <c r="D170" s="98"/>
      <c r="E170" s="98"/>
      <c r="F170" s="98"/>
      <c r="G170" s="98"/>
      <c r="H170" s="98"/>
      <c r="I170" s="98"/>
      <c r="J170" s="98"/>
      <c r="K170" s="98"/>
      <c r="L170" s="98"/>
      <c r="M170" s="98"/>
      <c r="N170" s="98"/>
      <c r="O170" s="98"/>
      <c r="P170" s="98"/>
      <c r="Q170" s="98"/>
      <c r="R170" s="98"/>
      <c r="S170" s="98"/>
      <c r="T170" s="98"/>
      <c r="U170" s="98"/>
      <c r="V170" s="98"/>
      <c r="W170" s="98"/>
      <c r="X170" s="98"/>
      <c r="Y170" s="98"/>
      <c r="Z170" s="98"/>
      <c r="AA170" s="98"/>
      <c r="AB170" s="98"/>
      <c r="AC170" s="98"/>
    </row>
    <row r="171" spans="1:29" ht="14.1" customHeight="1" x14ac:dyDescent="0.2">
      <c r="A171" s="98"/>
      <c r="B171" s="98"/>
      <c r="C171" s="98"/>
      <c r="D171" s="98"/>
      <c r="E171" s="98"/>
      <c r="F171" s="98"/>
      <c r="G171" s="98"/>
      <c r="H171" s="98"/>
      <c r="I171" s="98"/>
      <c r="J171" s="98"/>
      <c r="K171" s="98"/>
      <c r="L171" s="98"/>
      <c r="M171" s="98"/>
      <c r="N171" s="98"/>
      <c r="O171" s="98"/>
      <c r="P171" s="98"/>
      <c r="Q171" s="98"/>
      <c r="R171" s="98"/>
      <c r="S171" s="98"/>
      <c r="T171" s="98"/>
      <c r="U171" s="98"/>
      <c r="V171" s="98"/>
      <c r="W171" s="98"/>
      <c r="X171" s="98"/>
      <c r="Y171" s="98"/>
      <c r="Z171" s="98"/>
      <c r="AA171" s="98"/>
      <c r="AB171" s="98"/>
      <c r="AC171" s="98"/>
    </row>
    <row r="172" spans="1:29" ht="14.1" customHeight="1" x14ac:dyDescent="0.2">
      <c r="A172" s="98"/>
      <c r="B172" s="98"/>
      <c r="C172" s="98"/>
      <c r="D172" s="98"/>
      <c r="E172" s="98"/>
      <c r="F172" s="98"/>
      <c r="G172" s="98"/>
      <c r="H172" s="98"/>
      <c r="I172" s="98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98"/>
      <c r="V172" s="98"/>
      <c r="W172" s="98"/>
      <c r="X172" s="98"/>
      <c r="Y172" s="98"/>
      <c r="Z172" s="98"/>
      <c r="AA172" s="98"/>
      <c r="AB172" s="98"/>
      <c r="AC172" s="98"/>
    </row>
    <row r="173" spans="1:29" ht="14.1" customHeight="1" x14ac:dyDescent="0.2">
      <c r="A173" s="98"/>
      <c r="B173" s="98"/>
      <c r="C173" s="98"/>
      <c r="D173" s="98"/>
      <c r="E173" s="98"/>
      <c r="F173" s="98"/>
      <c r="G173" s="98"/>
      <c r="H173" s="98"/>
      <c r="I173" s="98"/>
      <c r="J173" s="98"/>
      <c r="K173" s="98"/>
      <c r="L173" s="98"/>
      <c r="M173" s="98"/>
      <c r="N173" s="98"/>
      <c r="O173" s="98"/>
      <c r="P173" s="98"/>
      <c r="Q173" s="98"/>
      <c r="R173" s="98"/>
      <c r="S173" s="98"/>
      <c r="T173" s="98"/>
      <c r="U173" s="98"/>
      <c r="V173" s="98"/>
      <c r="W173" s="98"/>
      <c r="X173" s="98"/>
      <c r="Y173" s="98"/>
      <c r="Z173" s="98"/>
      <c r="AA173" s="98"/>
      <c r="AB173" s="98"/>
      <c r="AC173" s="98"/>
    </row>
    <row r="174" spans="1:29" ht="14.1" customHeight="1" x14ac:dyDescent="0.2">
      <c r="A174" s="98"/>
      <c r="B174" s="98"/>
      <c r="C174" s="98"/>
      <c r="D174" s="98"/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  <c r="AA174" s="98"/>
      <c r="AB174" s="98"/>
      <c r="AC174" s="98"/>
    </row>
    <row r="175" spans="1:29" ht="14.1" customHeight="1" x14ac:dyDescent="0.2">
      <c r="A175" s="98"/>
      <c r="B175" s="98"/>
      <c r="C175" s="98"/>
      <c r="D175" s="98"/>
      <c r="E175" s="98"/>
      <c r="F175" s="98"/>
      <c r="G175" s="98"/>
      <c r="H175" s="98"/>
      <c r="I175" s="98"/>
      <c r="J175" s="98"/>
      <c r="K175" s="98"/>
      <c r="L175" s="98"/>
      <c r="M175" s="98"/>
      <c r="N175" s="98"/>
      <c r="O175" s="98"/>
      <c r="P175" s="98"/>
      <c r="Q175" s="98"/>
      <c r="R175" s="98"/>
      <c r="S175" s="98"/>
      <c r="T175" s="98"/>
      <c r="U175" s="98"/>
      <c r="V175" s="98"/>
      <c r="W175" s="98"/>
      <c r="X175" s="98"/>
      <c r="Y175" s="98"/>
      <c r="Z175" s="98"/>
      <c r="AA175" s="98"/>
      <c r="AB175" s="98"/>
      <c r="AC175" s="98"/>
    </row>
    <row r="176" spans="1:29" ht="14.1" customHeight="1" x14ac:dyDescent="0.2">
      <c r="A176" s="98"/>
      <c r="B176" s="98"/>
      <c r="C176" s="98"/>
      <c r="D176" s="98"/>
      <c r="E176" s="98"/>
      <c r="F176" s="98"/>
      <c r="G176" s="98"/>
      <c r="H176" s="98"/>
      <c r="I176" s="98"/>
      <c r="J176" s="98"/>
      <c r="K176" s="98"/>
      <c r="L176" s="98"/>
      <c r="M176" s="98"/>
      <c r="N176" s="98"/>
      <c r="O176" s="98"/>
      <c r="P176" s="98"/>
      <c r="Q176" s="98"/>
      <c r="R176" s="98"/>
      <c r="S176" s="98"/>
      <c r="T176" s="98"/>
      <c r="U176" s="98"/>
      <c r="V176" s="98"/>
      <c r="W176" s="98"/>
      <c r="X176" s="98"/>
      <c r="Y176" s="98"/>
      <c r="Z176" s="98"/>
      <c r="AA176" s="98"/>
      <c r="AB176" s="98"/>
      <c r="AC176" s="98"/>
    </row>
    <row r="177" spans="1:36" ht="24.95" customHeight="1" x14ac:dyDescent="0.25">
      <c r="A177" s="89" t="s">
        <v>103</v>
      </c>
      <c r="B177" s="90"/>
      <c r="C177" s="90"/>
      <c r="D177" s="90"/>
      <c r="E177" s="90"/>
      <c r="F177" s="90"/>
      <c r="G177" s="90"/>
      <c r="H177" s="90"/>
      <c r="I177" s="90"/>
      <c r="J177" s="90"/>
      <c r="K177" s="90"/>
      <c r="L177" s="90"/>
      <c r="M177" s="90"/>
      <c r="N177" s="90"/>
      <c r="O177" s="90"/>
      <c r="P177" s="90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  <c r="AI177" s="90"/>
      <c r="AJ177" s="90"/>
    </row>
    <row r="178" spans="1:36" ht="120" customHeight="1" x14ac:dyDescent="0.2">
      <c r="A178" s="91" t="s">
        <v>130</v>
      </c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  <c r="AB178" s="92"/>
      <c r="AC178" s="92"/>
    </row>
    <row r="179" spans="1:36" ht="14.1" customHeight="1" x14ac:dyDescent="0.2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  <c r="AB179" s="92"/>
      <c r="AC179" s="92"/>
    </row>
    <row r="180" spans="1:36" ht="14.1" customHeight="1" x14ac:dyDescent="0.2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  <c r="AB180" s="92"/>
      <c r="AC180" s="92"/>
    </row>
    <row r="181" spans="1:36" ht="14.1" customHeight="1" thickBot="1" x14ac:dyDescent="0.25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  <c r="AB181" s="92"/>
      <c r="AC181" s="92"/>
    </row>
    <row r="182" spans="1:36" ht="99" customHeight="1" x14ac:dyDescent="0.2">
      <c r="A182" s="73" t="s">
        <v>1</v>
      </c>
      <c r="B182" s="93" t="s">
        <v>39</v>
      </c>
      <c r="C182" s="94"/>
      <c r="D182" s="94"/>
      <c r="E182" s="94"/>
      <c r="F182" s="94"/>
      <c r="G182" s="94"/>
      <c r="H182" s="95"/>
      <c r="I182" s="93" t="s">
        <v>93</v>
      </c>
      <c r="J182" s="94"/>
      <c r="K182" s="95"/>
      <c r="L182" s="93" t="s">
        <v>94</v>
      </c>
      <c r="M182" s="94"/>
      <c r="N182" s="95"/>
      <c r="O182" s="93" t="s">
        <v>95</v>
      </c>
      <c r="P182" s="94"/>
      <c r="Q182" s="95"/>
      <c r="R182" s="66"/>
      <c r="S182" s="67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8"/>
      <c r="AG182" s="68"/>
      <c r="AH182" s="68"/>
      <c r="AI182" s="68"/>
      <c r="AJ182" s="68"/>
    </row>
    <row r="183" spans="1:36" ht="14.1" customHeight="1" x14ac:dyDescent="0.2">
      <c r="A183" s="69" t="s">
        <v>2</v>
      </c>
      <c r="B183" s="69">
        <v>1</v>
      </c>
      <c r="C183" s="69">
        <v>2</v>
      </c>
      <c r="D183" s="69">
        <v>3</v>
      </c>
      <c r="E183" s="69">
        <v>4</v>
      </c>
      <c r="F183" s="69">
        <v>5</v>
      </c>
      <c r="G183" s="69">
        <v>6</v>
      </c>
      <c r="H183" s="69">
        <v>7</v>
      </c>
      <c r="I183" s="69">
        <v>8</v>
      </c>
      <c r="J183" s="69">
        <v>9</v>
      </c>
      <c r="K183" s="69">
        <v>10</v>
      </c>
      <c r="L183" s="69">
        <v>11</v>
      </c>
      <c r="M183" s="69">
        <v>12</v>
      </c>
      <c r="N183" s="69">
        <v>13</v>
      </c>
      <c r="O183" s="69">
        <v>14</v>
      </c>
      <c r="P183" s="69">
        <v>15</v>
      </c>
      <c r="Q183" s="69">
        <v>16</v>
      </c>
      <c r="R183" s="69" t="s">
        <v>4</v>
      </c>
      <c r="S183" s="72" t="s">
        <v>17</v>
      </c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</row>
    <row r="184" spans="1:36" ht="14.1" customHeight="1" x14ac:dyDescent="0.2">
      <c r="A184" s="69" t="s">
        <v>3</v>
      </c>
      <c r="B184" s="69">
        <v>1</v>
      </c>
      <c r="C184" s="69">
        <v>1</v>
      </c>
      <c r="D184" s="69">
        <v>1</v>
      </c>
      <c r="E184" s="69">
        <v>1</v>
      </c>
      <c r="F184" s="69">
        <v>1</v>
      </c>
      <c r="G184" s="69">
        <v>1</v>
      </c>
      <c r="H184" s="69">
        <v>3</v>
      </c>
      <c r="I184" s="69">
        <v>1</v>
      </c>
      <c r="J184" s="69">
        <v>1</v>
      </c>
      <c r="K184" s="69">
        <v>1</v>
      </c>
      <c r="L184" s="69">
        <v>1</v>
      </c>
      <c r="M184" s="69">
        <v>1</v>
      </c>
      <c r="N184" s="69">
        <v>1</v>
      </c>
      <c r="O184" s="69">
        <v>1</v>
      </c>
      <c r="P184" s="69">
        <v>1</v>
      </c>
      <c r="Q184" s="69">
        <v>1</v>
      </c>
      <c r="R184" s="69">
        <v>18</v>
      </c>
      <c r="S184" s="72"/>
      <c r="T184" s="64"/>
      <c r="U184" s="64"/>
      <c r="V184" s="64"/>
      <c r="W184" s="64"/>
      <c r="X184" s="64"/>
      <c r="Y184" s="64"/>
      <c r="Z184" s="64"/>
      <c r="AA184" s="64"/>
      <c r="AB184" s="64"/>
      <c r="AC184" s="64"/>
      <c r="AD184" s="64"/>
      <c r="AE184" s="64"/>
    </row>
    <row r="185" spans="1:36" ht="14.1" customHeight="1" thickBot="1" x14ac:dyDescent="0.25">
      <c r="A185" s="70" t="s">
        <v>92</v>
      </c>
      <c r="B185" s="70">
        <v>1</v>
      </c>
      <c r="C185" s="70">
        <v>1</v>
      </c>
      <c r="D185" s="70">
        <v>1</v>
      </c>
      <c r="E185" s="70">
        <v>1</v>
      </c>
      <c r="F185" s="70">
        <v>1</v>
      </c>
      <c r="G185" s="70">
        <v>1</v>
      </c>
      <c r="H185" s="70">
        <v>3</v>
      </c>
      <c r="I185" s="70">
        <v>1</v>
      </c>
      <c r="J185" s="70">
        <v>0</v>
      </c>
      <c r="K185" s="70">
        <v>1</v>
      </c>
      <c r="L185" s="70">
        <v>1</v>
      </c>
      <c r="M185" s="70">
        <v>1</v>
      </c>
      <c r="N185" s="70">
        <v>1</v>
      </c>
      <c r="O185" s="70">
        <v>1</v>
      </c>
      <c r="P185" s="70">
        <v>1</v>
      </c>
      <c r="Q185" s="70">
        <v>1</v>
      </c>
      <c r="R185" s="70">
        <v>17</v>
      </c>
      <c r="S185" s="71">
        <v>0.94444444444444442</v>
      </c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</row>
    <row r="186" spans="1:36" ht="14.1" customHeight="1" x14ac:dyDescent="0.2"/>
    <row r="187" spans="1:36" ht="23.25" customHeight="1" x14ac:dyDescent="0.25">
      <c r="A187" s="74" t="s">
        <v>123</v>
      </c>
    </row>
    <row r="188" spans="1:36" ht="14.1" customHeight="1" x14ac:dyDescent="0.2"/>
    <row r="189" spans="1:36" ht="14.1" customHeight="1" x14ac:dyDescent="0.2">
      <c r="A189" s="91" t="s">
        <v>99</v>
      </c>
      <c r="B189" s="96"/>
      <c r="C189" s="96"/>
      <c r="D189" s="96"/>
      <c r="E189" s="96"/>
      <c r="F189" s="96"/>
      <c r="G189" s="96"/>
      <c r="H189" s="96"/>
      <c r="I189" s="96"/>
      <c r="J189" s="96"/>
      <c r="K189" s="96"/>
      <c r="L189" s="96"/>
      <c r="M189" s="96"/>
      <c r="N189" s="96"/>
      <c r="O189" s="96"/>
      <c r="P189" s="96"/>
      <c r="Q189" s="96"/>
      <c r="R189" s="96"/>
      <c r="S189" s="96"/>
      <c r="T189" s="96"/>
      <c r="U189" s="96"/>
      <c r="V189" s="96"/>
      <c r="W189" s="96"/>
      <c r="X189" s="96"/>
      <c r="Y189" s="96"/>
      <c r="Z189" s="96"/>
      <c r="AA189" s="96"/>
      <c r="AB189" s="96"/>
      <c r="AC189" s="96"/>
    </row>
    <row r="190" spans="1:36" ht="14.1" customHeight="1" x14ac:dyDescent="0.2">
      <c r="A190" s="96"/>
      <c r="B190" s="96"/>
      <c r="C190" s="96"/>
      <c r="D190" s="96"/>
      <c r="E190" s="96"/>
      <c r="F190" s="96"/>
      <c r="G190" s="96"/>
      <c r="H190" s="96"/>
      <c r="I190" s="96"/>
      <c r="J190" s="96"/>
      <c r="K190" s="96"/>
      <c r="L190" s="96"/>
      <c r="M190" s="96"/>
      <c r="N190" s="96"/>
      <c r="O190" s="96"/>
      <c r="P190" s="96"/>
      <c r="Q190" s="96"/>
      <c r="R190" s="96"/>
      <c r="S190" s="96"/>
      <c r="T190" s="96"/>
      <c r="U190" s="96"/>
      <c r="V190" s="96"/>
      <c r="W190" s="96"/>
      <c r="X190" s="96"/>
      <c r="Y190" s="96"/>
      <c r="Z190" s="96"/>
      <c r="AA190" s="96"/>
      <c r="AB190" s="96"/>
      <c r="AC190" s="96"/>
    </row>
    <row r="191" spans="1:36" ht="14.1" customHeight="1" x14ac:dyDescent="0.2">
      <c r="A191" s="96"/>
      <c r="B191" s="96"/>
      <c r="C191" s="96"/>
      <c r="D191" s="96"/>
      <c r="E191" s="96"/>
      <c r="F191" s="96"/>
      <c r="G191" s="96"/>
      <c r="H191" s="96"/>
      <c r="I191" s="96"/>
      <c r="J191" s="96"/>
      <c r="K191" s="96"/>
      <c r="L191" s="96"/>
      <c r="M191" s="96"/>
      <c r="N191" s="96"/>
      <c r="O191" s="96"/>
      <c r="P191" s="96"/>
      <c r="Q191" s="96"/>
      <c r="R191" s="96"/>
      <c r="S191" s="96"/>
      <c r="T191" s="96"/>
      <c r="U191" s="96"/>
      <c r="V191" s="96"/>
      <c r="W191" s="96"/>
      <c r="X191" s="96"/>
      <c r="Y191" s="96"/>
      <c r="Z191" s="96"/>
      <c r="AA191" s="96"/>
      <c r="AB191" s="96"/>
      <c r="AC191" s="96"/>
    </row>
    <row r="192" spans="1:36" ht="14.1" customHeight="1" x14ac:dyDescent="0.2">
      <c r="A192" s="96"/>
      <c r="B192" s="96"/>
      <c r="C192" s="96"/>
      <c r="D192" s="96"/>
      <c r="E192" s="96"/>
      <c r="F192" s="96"/>
      <c r="G192" s="96"/>
      <c r="H192" s="96"/>
      <c r="I192" s="96"/>
      <c r="J192" s="96"/>
      <c r="K192" s="96"/>
      <c r="L192" s="96"/>
      <c r="M192" s="96"/>
      <c r="N192" s="96"/>
      <c r="O192" s="96"/>
      <c r="P192" s="96"/>
      <c r="Q192" s="96"/>
      <c r="R192" s="96"/>
      <c r="S192" s="96"/>
      <c r="T192" s="96"/>
      <c r="U192" s="96"/>
      <c r="V192" s="96"/>
      <c r="W192" s="96"/>
      <c r="X192" s="96"/>
      <c r="Y192" s="96"/>
      <c r="Z192" s="96"/>
      <c r="AA192" s="96"/>
      <c r="AB192" s="96"/>
      <c r="AC192" s="96"/>
    </row>
    <row r="193" spans="1:36" ht="14.1" customHeight="1" x14ac:dyDescent="0.2"/>
    <row r="194" spans="1:36" ht="14.1" customHeight="1" x14ac:dyDescent="0.2">
      <c r="A194" s="97" t="s">
        <v>100</v>
      </c>
      <c r="B194" s="98"/>
      <c r="C194" s="98"/>
      <c r="D194" s="98"/>
      <c r="E194" s="98"/>
      <c r="F194" s="98"/>
      <c r="G194" s="98"/>
      <c r="H194" s="98"/>
      <c r="I194" s="98"/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98"/>
      <c r="V194" s="98"/>
      <c r="W194" s="98"/>
      <c r="X194" s="98"/>
      <c r="Y194" s="98"/>
      <c r="Z194" s="98"/>
      <c r="AA194" s="98"/>
      <c r="AB194" s="98"/>
      <c r="AC194" s="98"/>
    </row>
    <row r="195" spans="1:36" ht="14.1" customHeight="1" x14ac:dyDescent="0.2">
      <c r="A195" s="98"/>
      <c r="B195" s="98"/>
      <c r="C195" s="98"/>
      <c r="D195" s="98"/>
      <c r="E195" s="98"/>
      <c r="F195" s="98"/>
      <c r="G195" s="98"/>
      <c r="H195" s="98"/>
      <c r="I195" s="98"/>
      <c r="J195" s="98"/>
      <c r="K195" s="98"/>
      <c r="L195" s="98"/>
      <c r="M195" s="98"/>
      <c r="N195" s="98"/>
      <c r="O195" s="98"/>
      <c r="P195" s="98"/>
      <c r="Q195" s="98"/>
      <c r="R195" s="98"/>
      <c r="S195" s="98"/>
      <c r="T195" s="98"/>
      <c r="U195" s="98"/>
      <c r="V195" s="98"/>
      <c r="W195" s="98"/>
      <c r="X195" s="98"/>
      <c r="Y195" s="98"/>
      <c r="Z195" s="98"/>
      <c r="AA195" s="98"/>
      <c r="AB195" s="98"/>
      <c r="AC195" s="98"/>
    </row>
    <row r="196" spans="1:36" ht="14.1" customHeight="1" x14ac:dyDescent="0.2">
      <c r="A196" s="98"/>
      <c r="B196" s="98"/>
      <c r="C196" s="98"/>
      <c r="D196" s="98"/>
      <c r="E196" s="98"/>
      <c r="F196" s="98"/>
      <c r="G196" s="98"/>
      <c r="H196" s="98"/>
      <c r="I196" s="98"/>
      <c r="J196" s="98"/>
      <c r="K196" s="98"/>
      <c r="L196" s="98"/>
      <c r="M196" s="98"/>
      <c r="N196" s="98"/>
      <c r="O196" s="98"/>
      <c r="P196" s="98"/>
      <c r="Q196" s="98"/>
      <c r="R196" s="98"/>
      <c r="S196" s="98"/>
      <c r="T196" s="98"/>
      <c r="U196" s="98"/>
      <c r="V196" s="98"/>
      <c r="W196" s="98"/>
      <c r="X196" s="98"/>
      <c r="Y196" s="98"/>
      <c r="Z196" s="98"/>
      <c r="AA196" s="98"/>
      <c r="AB196" s="98"/>
      <c r="AC196" s="98"/>
    </row>
    <row r="197" spans="1:36" ht="14.1" customHeight="1" x14ac:dyDescent="0.2">
      <c r="A197" s="98"/>
      <c r="B197" s="98"/>
      <c r="C197" s="98"/>
      <c r="D197" s="98"/>
      <c r="E197" s="98"/>
      <c r="F197" s="98"/>
      <c r="G197" s="98"/>
      <c r="H197" s="98"/>
      <c r="I197" s="98"/>
      <c r="J197" s="98"/>
      <c r="K197" s="98"/>
      <c r="L197" s="98"/>
      <c r="M197" s="98"/>
      <c r="N197" s="98"/>
      <c r="O197" s="98"/>
      <c r="P197" s="98"/>
      <c r="Q197" s="98"/>
      <c r="R197" s="98"/>
      <c r="S197" s="98"/>
      <c r="T197" s="98"/>
      <c r="U197" s="98"/>
      <c r="V197" s="98"/>
      <c r="W197" s="98"/>
      <c r="X197" s="98"/>
      <c r="Y197" s="98"/>
      <c r="Z197" s="98"/>
      <c r="AA197" s="98"/>
      <c r="AB197" s="98"/>
      <c r="AC197" s="98"/>
    </row>
    <row r="198" spans="1:36" ht="14.1" customHeight="1" x14ac:dyDescent="0.2">
      <c r="A198" s="98"/>
      <c r="B198" s="98"/>
      <c r="C198" s="98"/>
      <c r="D198" s="98"/>
      <c r="E198" s="98"/>
      <c r="F198" s="98"/>
      <c r="G198" s="98"/>
      <c r="H198" s="98"/>
      <c r="I198" s="98"/>
      <c r="J198" s="98"/>
      <c r="K198" s="98"/>
      <c r="L198" s="98"/>
      <c r="M198" s="98"/>
      <c r="N198" s="98"/>
      <c r="O198" s="98"/>
      <c r="P198" s="98"/>
      <c r="Q198" s="98"/>
      <c r="R198" s="98"/>
      <c r="S198" s="98"/>
      <c r="T198" s="98"/>
      <c r="U198" s="98"/>
      <c r="V198" s="98"/>
      <c r="W198" s="98"/>
      <c r="X198" s="98"/>
      <c r="Y198" s="98"/>
      <c r="Z198" s="98"/>
      <c r="AA198" s="98"/>
      <c r="AB198" s="98"/>
      <c r="AC198" s="98"/>
    </row>
    <row r="199" spans="1:36" ht="14.1" customHeight="1" x14ac:dyDescent="0.2">
      <c r="A199" s="98"/>
      <c r="B199" s="98"/>
      <c r="C199" s="98"/>
      <c r="D199" s="98"/>
      <c r="E199" s="98"/>
      <c r="F199" s="98"/>
      <c r="G199" s="98"/>
      <c r="H199" s="98"/>
      <c r="I199" s="98"/>
      <c r="J199" s="98"/>
      <c r="K199" s="98"/>
      <c r="L199" s="98"/>
      <c r="M199" s="98"/>
      <c r="N199" s="98"/>
      <c r="O199" s="98"/>
      <c r="P199" s="98"/>
      <c r="Q199" s="98"/>
      <c r="R199" s="98"/>
      <c r="S199" s="98"/>
      <c r="T199" s="98"/>
      <c r="U199" s="98"/>
      <c r="V199" s="98"/>
      <c r="W199" s="98"/>
      <c r="X199" s="98"/>
      <c r="Y199" s="98"/>
      <c r="Z199" s="98"/>
      <c r="AA199" s="98"/>
      <c r="AB199" s="98"/>
      <c r="AC199" s="98"/>
    </row>
    <row r="200" spans="1:36" ht="14.1" customHeight="1" x14ac:dyDescent="0.2">
      <c r="A200" s="98"/>
      <c r="B200" s="98"/>
      <c r="C200" s="98"/>
      <c r="D200" s="98"/>
      <c r="E200" s="98"/>
      <c r="F200" s="98"/>
      <c r="G200" s="98"/>
      <c r="H200" s="98"/>
      <c r="I200" s="98"/>
      <c r="J200" s="98"/>
      <c r="K200" s="98"/>
      <c r="L200" s="98"/>
      <c r="M200" s="98"/>
      <c r="N200" s="98"/>
      <c r="O200" s="98"/>
      <c r="P200" s="98"/>
      <c r="Q200" s="98"/>
      <c r="R200" s="98"/>
      <c r="S200" s="98"/>
      <c r="T200" s="98"/>
      <c r="U200" s="98"/>
      <c r="V200" s="98"/>
      <c r="W200" s="98"/>
      <c r="X200" s="98"/>
      <c r="Y200" s="98"/>
      <c r="Z200" s="98"/>
      <c r="AA200" s="98"/>
      <c r="AB200" s="98"/>
      <c r="AC200" s="98"/>
    </row>
    <row r="201" spans="1:36" ht="14.1" customHeight="1" x14ac:dyDescent="0.2">
      <c r="A201" s="98"/>
      <c r="B201" s="98"/>
      <c r="C201" s="98"/>
      <c r="D201" s="98"/>
      <c r="E201" s="98"/>
      <c r="F201" s="98"/>
      <c r="G201" s="98"/>
      <c r="H201" s="98"/>
      <c r="I201" s="98"/>
      <c r="J201" s="98"/>
      <c r="K201" s="98"/>
      <c r="L201" s="98"/>
      <c r="M201" s="98"/>
      <c r="N201" s="98"/>
      <c r="O201" s="98"/>
      <c r="P201" s="98"/>
      <c r="Q201" s="98"/>
      <c r="R201" s="98"/>
      <c r="S201" s="98"/>
      <c r="T201" s="98"/>
      <c r="U201" s="98"/>
      <c r="V201" s="98"/>
      <c r="W201" s="98"/>
      <c r="X201" s="98"/>
      <c r="Y201" s="98"/>
      <c r="Z201" s="98"/>
      <c r="AA201" s="98"/>
      <c r="AB201" s="98"/>
      <c r="AC201" s="98"/>
    </row>
    <row r="202" spans="1:36" ht="24.95" customHeight="1" x14ac:dyDescent="0.25">
      <c r="A202" s="89" t="s">
        <v>103</v>
      </c>
      <c r="B202" s="90"/>
      <c r="C202" s="90"/>
      <c r="D202" s="90"/>
      <c r="E202" s="90"/>
      <c r="F202" s="90"/>
      <c r="G202" s="90"/>
      <c r="H202" s="90"/>
      <c r="I202" s="90"/>
      <c r="J202" s="90"/>
      <c r="K202" s="90"/>
      <c r="L202" s="90"/>
      <c r="M202" s="90"/>
      <c r="N202" s="90"/>
      <c r="O202" s="90"/>
      <c r="P202" s="90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  <c r="AI202" s="90"/>
      <c r="AJ202" s="90"/>
    </row>
    <row r="203" spans="1:36" ht="120" customHeight="1" x14ac:dyDescent="0.2">
      <c r="A203" s="91" t="s">
        <v>131</v>
      </c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  <c r="AA203" s="92"/>
      <c r="AB203" s="92"/>
      <c r="AC203" s="92"/>
    </row>
    <row r="204" spans="1:36" ht="14.1" customHeight="1" x14ac:dyDescent="0.2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</row>
    <row r="205" spans="1:36" ht="14.1" customHeight="1" x14ac:dyDescent="0.2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</row>
    <row r="206" spans="1:36" ht="14.1" customHeight="1" thickBot="1" x14ac:dyDescent="0.25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  <c r="AA206" s="92"/>
      <c r="AB206" s="92"/>
      <c r="AC206" s="92"/>
    </row>
    <row r="207" spans="1:36" ht="99" customHeight="1" x14ac:dyDescent="0.2">
      <c r="A207" s="73" t="s">
        <v>1</v>
      </c>
      <c r="B207" s="93" t="s">
        <v>39</v>
      </c>
      <c r="C207" s="94"/>
      <c r="D207" s="94"/>
      <c r="E207" s="94"/>
      <c r="F207" s="94"/>
      <c r="G207" s="94"/>
      <c r="H207" s="95"/>
      <c r="I207" s="93" t="s">
        <v>93</v>
      </c>
      <c r="J207" s="94"/>
      <c r="K207" s="95"/>
      <c r="L207" s="93" t="s">
        <v>94</v>
      </c>
      <c r="M207" s="94"/>
      <c r="N207" s="95"/>
      <c r="O207" s="93" t="s">
        <v>95</v>
      </c>
      <c r="P207" s="94"/>
      <c r="Q207" s="95"/>
      <c r="R207" s="66"/>
      <c r="S207" s="67"/>
      <c r="T207" s="65"/>
      <c r="U207" s="65"/>
      <c r="V207" s="65"/>
      <c r="W207" s="65"/>
      <c r="X207" s="65"/>
      <c r="Y207" s="65"/>
      <c r="Z207" s="65"/>
      <c r="AA207" s="65"/>
      <c r="AB207" s="65"/>
      <c r="AC207" s="65"/>
      <c r="AD207" s="65"/>
      <c r="AE207" s="65"/>
      <c r="AF207" s="68"/>
      <c r="AG207" s="68"/>
      <c r="AH207" s="68"/>
      <c r="AI207" s="68"/>
      <c r="AJ207" s="68"/>
    </row>
    <row r="208" spans="1:36" ht="14.1" customHeight="1" x14ac:dyDescent="0.2">
      <c r="A208" s="69" t="s">
        <v>2</v>
      </c>
      <c r="B208" s="69">
        <v>1</v>
      </c>
      <c r="C208" s="69">
        <v>2</v>
      </c>
      <c r="D208" s="69">
        <v>3</v>
      </c>
      <c r="E208" s="69">
        <v>4</v>
      </c>
      <c r="F208" s="69">
        <v>5</v>
      </c>
      <c r="G208" s="69">
        <v>6</v>
      </c>
      <c r="H208" s="69">
        <v>7</v>
      </c>
      <c r="I208" s="69">
        <v>8</v>
      </c>
      <c r="J208" s="69">
        <v>9</v>
      </c>
      <c r="K208" s="69">
        <v>10</v>
      </c>
      <c r="L208" s="69">
        <v>11</v>
      </c>
      <c r="M208" s="69">
        <v>12</v>
      </c>
      <c r="N208" s="69">
        <v>13</v>
      </c>
      <c r="O208" s="69">
        <v>14</v>
      </c>
      <c r="P208" s="69">
        <v>15</v>
      </c>
      <c r="Q208" s="69">
        <v>16</v>
      </c>
      <c r="R208" s="69" t="s">
        <v>4</v>
      </c>
      <c r="S208" s="72" t="s">
        <v>17</v>
      </c>
      <c r="T208" s="64"/>
      <c r="U208" s="64"/>
      <c r="V208" s="64"/>
      <c r="W208" s="64"/>
      <c r="X208" s="64"/>
      <c r="Y208" s="64"/>
      <c r="Z208" s="64"/>
      <c r="AA208" s="64"/>
      <c r="AB208" s="64"/>
      <c r="AC208" s="64"/>
      <c r="AD208" s="64"/>
      <c r="AE208" s="64"/>
    </row>
    <row r="209" spans="1:31" ht="14.1" customHeight="1" x14ac:dyDescent="0.2">
      <c r="A209" s="69" t="s">
        <v>3</v>
      </c>
      <c r="B209" s="69">
        <v>1</v>
      </c>
      <c r="C209" s="69">
        <v>1</v>
      </c>
      <c r="D209" s="69">
        <v>1</v>
      </c>
      <c r="E209" s="69">
        <v>1</v>
      </c>
      <c r="F209" s="69">
        <v>1</v>
      </c>
      <c r="G209" s="69">
        <v>1</v>
      </c>
      <c r="H209" s="69">
        <v>3</v>
      </c>
      <c r="I209" s="69">
        <v>1</v>
      </c>
      <c r="J209" s="69">
        <v>1</v>
      </c>
      <c r="K209" s="69">
        <v>1</v>
      </c>
      <c r="L209" s="69">
        <v>1</v>
      </c>
      <c r="M209" s="69">
        <v>1</v>
      </c>
      <c r="N209" s="69">
        <v>1</v>
      </c>
      <c r="O209" s="69">
        <v>1</v>
      </c>
      <c r="P209" s="69">
        <v>1</v>
      </c>
      <c r="Q209" s="69">
        <v>1</v>
      </c>
      <c r="R209" s="69">
        <v>18</v>
      </c>
      <c r="S209" s="72"/>
      <c r="T209" s="64"/>
      <c r="U209" s="64"/>
      <c r="V209" s="64"/>
      <c r="W209" s="64"/>
      <c r="X209" s="64"/>
      <c r="Y209" s="64"/>
      <c r="Z209" s="64"/>
      <c r="AA209" s="64"/>
      <c r="AB209" s="64"/>
      <c r="AC209" s="64"/>
      <c r="AD209" s="64"/>
      <c r="AE209" s="64"/>
    </row>
    <row r="210" spans="1:31" ht="14.1" customHeight="1" thickBot="1" x14ac:dyDescent="0.25">
      <c r="A210" s="70" t="s">
        <v>92</v>
      </c>
      <c r="B210" s="70">
        <v>1</v>
      </c>
      <c r="C210" s="70">
        <v>1</v>
      </c>
      <c r="D210" s="70">
        <v>1</v>
      </c>
      <c r="E210" s="70">
        <v>1</v>
      </c>
      <c r="F210" s="70">
        <v>1</v>
      </c>
      <c r="G210" s="70">
        <v>1</v>
      </c>
      <c r="H210" s="70">
        <v>3</v>
      </c>
      <c r="I210" s="70">
        <v>1</v>
      </c>
      <c r="J210" s="70">
        <v>0</v>
      </c>
      <c r="K210" s="70">
        <v>1</v>
      </c>
      <c r="L210" s="70">
        <v>1</v>
      </c>
      <c r="M210" s="70">
        <v>1</v>
      </c>
      <c r="N210" s="70">
        <v>1</v>
      </c>
      <c r="O210" s="70">
        <v>1</v>
      </c>
      <c r="P210" s="70">
        <v>1</v>
      </c>
      <c r="Q210" s="70">
        <v>1</v>
      </c>
      <c r="R210" s="70">
        <v>17</v>
      </c>
      <c r="S210" s="71">
        <v>0.94444444444444442</v>
      </c>
      <c r="T210" s="64"/>
      <c r="U210" s="64"/>
      <c r="V210" s="64"/>
      <c r="W210" s="64"/>
      <c r="X210" s="64"/>
      <c r="Y210" s="64"/>
      <c r="Z210" s="64"/>
      <c r="AA210" s="64"/>
      <c r="AB210" s="64"/>
      <c r="AC210" s="64"/>
      <c r="AD210" s="64"/>
      <c r="AE210" s="64"/>
    </row>
    <row r="211" spans="1:31" ht="14.1" customHeight="1" x14ac:dyDescent="0.2"/>
    <row r="212" spans="1:31" ht="23.25" customHeight="1" x14ac:dyDescent="0.25">
      <c r="A212" s="74" t="s">
        <v>123</v>
      </c>
    </row>
    <row r="213" spans="1:31" ht="14.1" customHeight="1" x14ac:dyDescent="0.2"/>
    <row r="214" spans="1:31" ht="14.1" customHeight="1" x14ac:dyDescent="0.2">
      <c r="A214" s="91" t="s">
        <v>99</v>
      </c>
      <c r="B214" s="96"/>
      <c r="C214" s="96"/>
      <c r="D214" s="96"/>
      <c r="E214" s="96"/>
      <c r="F214" s="96"/>
      <c r="G214" s="96"/>
      <c r="H214" s="96"/>
      <c r="I214" s="96"/>
      <c r="J214" s="96"/>
      <c r="K214" s="96"/>
      <c r="L214" s="96"/>
      <c r="M214" s="96"/>
      <c r="N214" s="96"/>
      <c r="O214" s="96"/>
      <c r="P214" s="96"/>
      <c r="Q214" s="96"/>
      <c r="R214" s="96"/>
      <c r="S214" s="96"/>
      <c r="T214" s="96"/>
      <c r="U214" s="96"/>
      <c r="V214" s="96"/>
      <c r="W214" s="96"/>
      <c r="X214" s="96"/>
      <c r="Y214" s="96"/>
      <c r="Z214" s="96"/>
      <c r="AA214" s="96"/>
      <c r="AB214" s="96"/>
      <c r="AC214" s="96"/>
    </row>
    <row r="215" spans="1:31" ht="14.1" customHeight="1" x14ac:dyDescent="0.2">
      <c r="A215" s="96"/>
      <c r="B215" s="96"/>
      <c r="C215" s="96"/>
      <c r="D215" s="96"/>
      <c r="E215" s="96"/>
      <c r="F215" s="96"/>
      <c r="G215" s="96"/>
      <c r="H215" s="96"/>
      <c r="I215" s="96"/>
      <c r="J215" s="96"/>
      <c r="K215" s="96"/>
      <c r="L215" s="96"/>
      <c r="M215" s="96"/>
      <c r="N215" s="96"/>
      <c r="O215" s="96"/>
      <c r="P215" s="96"/>
      <c r="Q215" s="96"/>
      <c r="R215" s="96"/>
      <c r="S215" s="96"/>
      <c r="T215" s="96"/>
      <c r="U215" s="96"/>
      <c r="V215" s="96"/>
      <c r="W215" s="96"/>
      <c r="X215" s="96"/>
      <c r="Y215" s="96"/>
      <c r="Z215" s="96"/>
      <c r="AA215" s="96"/>
      <c r="AB215" s="96"/>
      <c r="AC215" s="96"/>
    </row>
    <row r="216" spans="1:31" ht="14.1" customHeight="1" x14ac:dyDescent="0.2">
      <c r="A216" s="96"/>
      <c r="B216" s="96"/>
      <c r="C216" s="96"/>
      <c r="D216" s="96"/>
      <c r="E216" s="96"/>
      <c r="F216" s="96"/>
      <c r="G216" s="96"/>
      <c r="H216" s="96"/>
      <c r="I216" s="96"/>
      <c r="J216" s="96"/>
      <c r="K216" s="96"/>
      <c r="L216" s="96"/>
      <c r="M216" s="96"/>
      <c r="N216" s="96"/>
      <c r="O216" s="96"/>
      <c r="P216" s="96"/>
      <c r="Q216" s="96"/>
      <c r="R216" s="96"/>
      <c r="S216" s="96"/>
      <c r="T216" s="96"/>
      <c r="U216" s="96"/>
      <c r="V216" s="96"/>
      <c r="W216" s="96"/>
      <c r="X216" s="96"/>
      <c r="Y216" s="96"/>
      <c r="Z216" s="96"/>
      <c r="AA216" s="96"/>
      <c r="AB216" s="96"/>
      <c r="AC216" s="96"/>
    </row>
    <row r="217" spans="1:31" ht="14.1" customHeight="1" x14ac:dyDescent="0.2">
      <c r="A217" s="96"/>
      <c r="B217" s="96"/>
      <c r="C217" s="96"/>
      <c r="D217" s="96"/>
      <c r="E217" s="96"/>
      <c r="F217" s="96"/>
      <c r="G217" s="96"/>
      <c r="H217" s="96"/>
      <c r="I217" s="96"/>
      <c r="J217" s="96"/>
      <c r="K217" s="96"/>
      <c r="L217" s="96"/>
      <c r="M217" s="96"/>
      <c r="N217" s="96"/>
      <c r="O217" s="96"/>
      <c r="P217" s="96"/>
      <c r="Q217" s="96"/>
      <c r="R217" s="96"/>
      <c r="S217" s="96"/>
      <c r="T217" s="96"/>
      <c r="U217" s="96"/>
      <c r="V217" s="96"/>
      <c r="W217" s="96"/>
      <c r="X217" s="96"/>
      <c r="Y217" s="96"/>
      <c r="Z217" s="96"/>
      <c r="AA217" s="96"/>
      <c r="AB217" s="96"/>
      <c r="AC217" s="96"/>
    </row>
    <row r="218" spans="1:31" ht="14.1" customHeight="1" x14ac:dyDescent="0.2"/>
    <row r="219" spans="1:31" ht="14.1" customHeight="1" x14ac:dyDescent="0.2">
      <c r="A219" s="97" t="s">
        <v>100</v>
      </c>
      <c r="B219" s="98"/>
      <c r="C219" s="98"/>
      <c r="D219" s="98"/>
      <c r="E219" s="98"/>
      <c r="F219" s="98"/>
      <c r="G219" s="98"/>
      <c r="H219" s="98"/>
      <c r="I219" s="98"/>
      <c r="J219" s="98"/>
      <c r="K219" s="98"/>
      <c r="L219" s="98"/>
      <c r="M219" s="98"/>
      <c r="N219" s="98"/>
      <c r="O219" s="98"/>
      <c r="P219" s="98"/>
      <c r="Q219" s="98"/>
      <c r="R219" s="98"/>
      <c r="S219" s="98"/>
      <c r="T219" s="98"/>
      <c r="U219" s="98"/>
      <c r="V219" s="98"/>
      <c r="W219" s="98"/>
      <c r="X219" s="98"/>
      <c r="Y219" s="98"/>
      <c r="Z219" s="98"/>
      <c r="AA219" s="98"/>
      <c r="AB219" s="98"/>
      <c r="AC219" s="98"/>
    </row>
    <row r="220" spans="1:31" ht="14.1" customHeight="1" x14ac:dyDescent="0.2">
      <c r="A220" s="98"/>
      <c r="B220" s="98"/>
      <c r="C220" s="98"/>
      <c r="D220" s="98"/>
      <c r="E220" s="98"/>
      <c r="F220" s="98"/>
      <c r="G220" s="98"/>
      <c r="H220" s="98"/>
      <c r="I220" s="98"/>
      <c r="J220" s="98"/>
      <c r="K220" s="98"/>
      <c r="L220" s="98"/>
      <c r="M220" s="98"/>
      <c r="N220" s="98"/>
      <c r="O220" s="98"/>
      <c r="P220" s="98"/>
      <c r="Q220" s="98"/>
      <c r="R220" s="98"/>
      <c r="S220" s="98"/>
      <c r="T220" s="98"/>
      <c r="U220" s="98"/>
      <c r="V220" s="98"/>
      <c r="W220" s="98"/>
      <c r="X220" s="98"/>
      <c r="Y220" s="98"/>
      <c r="Z220" s="98"/>
      <c r="AA220" s="98"/>
      <c r="AB220" s="98"/>
      <c r="AC220" s="98"/>
    </row>
    <row r="221" spans="1:31" ht="14.1" customHeight="1" x14ac:dyDescent="0.2">
      <c r="A221" s="98"/>
      <c r="B221" s="98"/>
      <c r="C221" s="98"/>
      <c r="D221" s="98"/>
      <c r="E221" s="98"/>
      <c r="F221" s="98"/>
      <c r="G221" s="98"/>
      <c r="H221" s="98"/>
      <c r="I221" s="98"/>
      <c r="J221" s="98"/>
      <c r="K221" s="98"/>
      <c r="L221" s="98"/>
      <c r="M221" s="98"/>
      <c r="N221" s="98"/>
      <c r="O221" s="98"/>
      <c r="P221" s="98"/>
      <c r="Q221" s="98"/>
      <c r="R221" s="98"/>
      <c r="S221" s="98"/>
      <c r="T221" s="98"/>
      <c r="U221" s="98"/>
      <c r="V221" s="98"/>
      <c r="W221" s="98"/>
      <c r="X221" s="98"/>
      <c r="Y221" s="98"/>
      <c r="Z221" s="98"/>
      <c r="AA221" s="98"/>
      <c r="AB221" s="98"/>
      <c r="AC221" s="98"/>
    </row>
    <row r="222" spans="1:31" ht="14.1" customHeight="1" x14ac:dyDescent="0.2">
      <c r="A222" s="98"/>
      <c r="B222" s="98"/>
      <c r="C222" s="98"/>
      <c r="D222" s="98"/>
      <c r="E222" s="98"/>
      <c r="F222" s="98"/>
      <c r="G222" s="98"/>
      <c r="H222" s="98"/>
      <c r="I222" s="98"/>
      <c r="J222" s="98"/>
      <c r="K222" s="98"/>
      <c r="L222" s="98"/>
      <c r="M222" s="98"/>
      <c r="N222" s="98"/>
      <c r="O222" s="98"/>
      <c r="P222" s="98"/>
      <c r="Q222" s="98"/>
      <c r="R222" s="98"/>
      <c r="S222" s="98"/>
      <c r="T222" s="98"/>
      <c r="U222" s="98"/>
      <c r="V222" s="98"/>
      <c r="W222" s="98"/>
      <c r="X222" s="98"/>
      <c r="Y222" s="98"/>
      <c r="Z222" s="98"/>
      <c r="AA222" s="98"/>
      <c r="AB222" s="98"/>
      <c r="AC222" s="98"/>
    </row>
    <row r="223" spans="1:31" ht="14.1" customHeight="1" x14ac:dyDescent="0.2">
      <c r="A223" s="98"/>
      <c r="B223" s="98"/>
      <c r="C223" s="98"/>
      <c r="D223" s="98"/>
      <c r="E223" s="98"/>
      <c r="F223" s="98"/>
      <c r="G223" s="98"/>
      <c r="H223" s="98"/>
      <c r="I223" s="98"/>
      <c r="J223" s="98"/>
      <c r="K223" s="98"/>
      <c r="L223" s="98"/>
      <c r="M223" s="98"/>
      <c r="N223" s="98"/>
      <c r="O223" s="98"/>
      <c r="P223" s="98"/>
      <c r="Q223" s="98"/>
      <c r="R223" s="98"/>
      <c r="S223" s="98"/>
      <c r="T223" s="98"/>
      <c r="U223" s="98"/>
      <c r="V223" s="98"/>
      <c r="W223" s="98"/>
      <c r="X223" s="98"/>
      <c r="Y223" s="98"/>
      <c r="Z223" s="98"/>
      <c r="AA223" s="98"/>
      <c r="AB223" s="98"/>
      <c r="AC223" s="98"/>
    </row>
    <row r="224" spans="1:31" ht="14.1" customHeight="1" x14ac:dyDescent="0.2">
      <c r="A224" s="98"/>
      <c r="B224" s="98"/>
      <c r="C224" s="98"/>
      <c r="D224" s="98"/>
      <c r="E224" s="98"/>
      <c r="F224" s="98"/>
      <c r="G224" s="98"/>
      <c r="H224" s="98"/>
      <c r="I224" s="98"/>
      <c r="J224" s="98"/>
      <c r="K224" s="98"/>
      <c r="L224" s="98"/>
      <c r="M224" s="98"/>
      <c r="N224" s="98"/>
      <c r="O224" s="98"/>
      <c r="P224" s="98"/>
      <c r="Q224" s="98"/>
      <c r="R224" s="98"/>
      <c r="S224" s="98"/>
      <c r="T224" s="98"/>
      <c r="U224" s="98"/>
      <c r="V224" s="98"/>
      <c r="W224" s="98"/>
      <c r="X224" s="98"/>
      <c r="Y224" s="98"/>
      <c r="Z224" s="98"/>
      <c r="AA224" s="98"/>
      <c r="AB224" s="98"/>
      <c r="AC224" s="98"/>
    </row>
    <row r="225" spans="1:36" ht="14.1" customHeight="1" x14ac:dyDescent="0.2">
      <c r="A225" s="98"/>
      <c r="B225" s="98"/>
      <c r="C225" s="98"/>
      <c r="D225" s="98"/>
      <c r="E225" s="98"/>
      <c r="F225" s="98"/>
      <c r="G225" s="98"/>
      <c r="H225" s="98"/>
      <c r="I225" s="98"/>
      <c r="J225" s="98"/>
      <c r="K225" s="98"/>
      <c r="L225" s="98"/>
      <c r="M225" s="98"/>
      <c r="N225" s="98"/>
      <c r="O225" s="98"/>
      <c r="P225" s="98"/>
      <c r="Q225" s="98"/>
      <c r="R225" s="98"/>
      <c r="S225" s="98"/>
      <c r="T225" s="98"/>
      <c r="U225" s="98"/>
      <c r="V225" s="98"/>
      <c r="W225" s="98"/>
      <c r="X225" s="98"/>
      <c r="Y225" s="98"/>
      <c r="Z225" s="98"/>
      <c r="AA225" s="98"/>
      <c r="AB225" s="98"/>
      <c r="AC225" s="98"/>
    </row>
    <row r="226" spans="1:36" ht="14.1" customHeight="1" x14ac:dyDescent="0.2">
      <c r="A226" s="98"/>
      <c r="B226" s="98"/>
      <c r="C226" s="98"/>
      <c r="D226" s="98"/>
      <c r="E226" s="98"/>
      <c r="F226" s="98"/>
      <c r="G226" s="98"/>
      <c r="H226" s="98"/>
      <c r="I226" s="98"/>
      <c r="J226" s="98"/>
      <c r="K226" s="98"/>
      <c r="L226" s="98"/>
      <c r="M226" s="98"/>
      <c r="N226" s="98"/>
      <c r="O226" s="98"/>
      <c r="P226" s="98"/>
      <c r="Q226" s="98"/>
      <c r="R226" s="98"/>
      <c r="S226" s="98"/>
      <c r="T226" s="98"/>
      <c r="U226" s="98"/>
      <c r="V226" s="98"/>
      <c r="W226" s="98"/>
      <c r="X226" s="98"/>
      <c r="Y226" s="98"/>
      <c r="Z226" s="98"/>
      <c r="AA226" s="98"/>
      <c r="AB226" s="98"/>
      <c r="AC226" s="98"/>
    </row>
    <row r="227" spans="1:36" ht="24.95" customHeight="1" x14ac:dyDescent="0.25">
      <c r="A227" s="89" t="s">
        <v>103</v>
      </c>
      <c r="B227" s="90"/>
      <c r="C227" s="90"/>
      <c r="D227" s="90"/>
      <c r="E227" s="90"/>
      <c r="F227" s="90"/>
      <c r="G227" s="90"/>
      <c r="H227" s="90"/>
      <c r="I227" s="90"/>
      <c r="J227" s="90"/>
      <c r="K227" s="90"/>
      <c r="L227" s="90"/>
      <c r="M227" s="90"/>
      <c r="N227" s="90"/>
      <c r="O227" s="90"/>
      <c r="P227" s="90"/>
      <c r="Q227" s="90"/>
      <c r="R227" s="90"/>
      <c r="S227" s="90"/>
      <c r="T227" s="90"/>
      <c r="U227" s="90"/>
      <c r="V227" s="90"/>
      <c r="W227" s="90"/>
      <c r="X227" s="90"/>
      <c r="Y227" s="90"/>
      <c r="Z227" s="90"/>
      <c r="AA227" s="90"/>
      <c r="AB227" s="90"/>
      <c r="AC227" s="90"/>
      <c r="AD227" s="90"/>
      <c r="AE227" s="90"/>
      <c r="AF227" s="90"/>
      <c r="AG227" s="90"/>
      <c r="AH227" s="90"/>
      <c r="AI227" s="90"/>
      <c r="AJ227" s="90"/>
    </row>
    <row r="228" spans="1:36" ht="120" customHeight="1" x14ac:dyDescent="0.2">
      <c r="A228" s="91" t="s">
        <v>132</v>
      </c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  <c r="AA228" s="92"/>
      <c r="AB228" s="92"/>
      <c r="AC228" s="92"/>
    </row>
    <row r="229" spans="1:36" ht="14.1" customHeight="1" x14ac:dyDescent="0.2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</row>
    <row r="230" spans="1:36" ht="14.1" customHeight="1" x14ac:dyDescent="0.2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</row>
    <row r="231" spans="1:36" ht="14.1" customHeight="1" thickBot="1" x14ac:dyDescent="0.25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</row>
    <row r="232" spans="1:36" ht="99" customHeight="1" x14ac:dyDescent="0.2">
      <c r="A232" s="73" t="s">
        <v>1</v>
      </c>
      <c r="B232" s="93" t="s">
        <v>39</v>
      </c>
      <c r="C232" s="94"/>
      <c r="D232" s="94"/>
      <c r="E232" s="94"/>
      <c r="F232" s="94"/>
      <c r="G232" s="94"/>
      <c r="H232" s="95"/>
      <c r="I232" s="93" t="s">
        <v>93</v>
      </c>
      <c r="J232" s="94"/>
      <c r="K232" s="95"/>
      <c r="L232" s="93" t="s">
        <v>94</v>
      </c>
      <c r="M232" s="94"/>
      <c r="N232" s="95"/>
      <c r="O232" s="93" t="s">
        <v>95</v>
      </c>
      <c r="P232" s="94"/>
      <c r="Q232" s="95"/>
      <c r="R232" s="66"/>
      <c r="S232" s="67"/>
      <c r="T232" s="65"/>
      <c r="U232" s="65"/>
      <c r="V232" s="65"/>
      <c r="W232" s="65"/>
      <c r="X232" s="65"/>
      <c r="Y232" s="65"/>
      <c r="Z232" s="65"/>
      <c r="AA232" s="65"/>
      <c r="AB232" s="65"/>
      <c r="AC232" s="65"/>
      <c r="AD232" s="65"/>
      <c r="AE232" s="65"/>
      <c r="AF232" s="68"/>
      <c r="AG232" s="68"/>
      <c r="AH232" s="68"/>
      <c r="AI232" s="68"/>
      <c r="AJ232" s="68"/>
    </row>
    <row r="233" spans="1:36" ht="14.1" customHeight="1" x14ac:dyDescent="0.2">
      <c r="A233" s="69" t="s">
        <v>2</v>
      </c>
      <c r="B233" s="69">
        <v>1</v>
      </c>
      <c r="C233" s="69">
        <v>2</v>
      </c>
      <c r="D233" s="69">
        <v>3</v>
      </c>
      <c r="E233" s="69">
        <v>4</v>
      </c>
      <c r="F233" s="69">
        <v>5</v>
      </c>
      <c r="G233" s="69">
        <v>6</v>
      </c>
      <c r="H233" s="69">
        <v>7</v>
      </c>
      <c r="I233" s="69">
        <v>8</v>
      </c>
      <c r="J233" s="69">
        <v>9</v>
      </c>
      <c r="K233" s="69">
        <v>10</v>
      </c>
      <c r="L233" s="69">
        <v>11</v>
      </c>
      <c r="M233" s="69">
        <v>12</v>
      </c>
      <c r="N233" s="69">
        <v>13</v>
      </c>
      <c r="O233" s="69">
        <v>14</v>
      </c>
      <c r="P233" s="69">
        <v>15</v>
      </c>
      <c r="Q233" s="69">
        <v>16</v>
      </c>
      <c r="R233" s="69" t="s">
        <v>4</v>
      </c>
      <c r="S233" s="72" t="s">
        <v>17</v>
      </c>
      <c r="T233" s="64"/>
      <c r="U233" s="64"/>
      <c r="V233" s="64"/>
      <c r="W233" s="64"/>
      <c r="X233" s="64"/>
      <c r="Y233" s="64"/>
      <c r="Z233" s="64"/>
      <c r="AA233" s="64"/>
      <c r="AB233" s="64"/>
      <c r="AC233" s="64"/>
      <c r="AD233" s="64"/>
      <c r="AE233" s="64"/>
    </row>
    <row r="234" spans="1:36" ht="14.1" customHeight="1" x14ac:dyDescent="0.2">
      <c r="A234" s="69" t="s">
        <v>3</v>
      </c>
      <c r="B234" s="69">
        <v>1</v>
      </c>
      <c r="C234" s="69">
        <v>1</v>
      </c>
      <c r="D234" s="69">
        <v>1</v>
      </c>
      <c r="E234" s="69">
        <v>1</v>
      </c>
      <c r="F234" s="69">
        <v>1</v>
      </c>
      <c r="G234" s="69">
        <v>1</v>
      </c>
      <c r="H234" s="69">
        <v>3</v>
      </c>
      <c r="I234" s="69">
        <v>1</v>
      </c>
      <c r="J234" s="69">
        <v>1</v>
      </c>
      <c r="K234" s="69">
        <v>1</v>
      </c>
      <c r="L234" s="69">
        <v>1</v>
      </c>
      <c r="M234" s="69">
        <v>1</v>
      </c>
      <c r="N234" s="69">
        <v>1</v>
      </c>
      <c r="O234" s="69">
        <v>1</v>
      </c>
      <c r="P234" s="69">
        <v>1</v>
      </c>
      <c r="Q234" s="69">
        <v>1</v>
      </c>
      <c r="R234" s="69">
        <v>18</v>
      </c>
      <c r="S234" s="72"/>
      <c r="T234" s="64"/>
      <c r="U234" s="64"/>
      <c r="V234" s="64"/>
      <c r="W234" s="64"/>
      <c r="X234" s="64"/>
      <c r="Y234" s="64"/>
      <c r="Z234" s="64"/>
      <c r="AA234" s="64"/>
      <c r="AB234" s="64"/>
      <c r="AC234" s="64"/>
      <c r="AD234" s="64"/>
      <c r="AE234" s="64"/>
    </row>
    <row r="235" spans="1:36" ht="14.1" customHeight="1" thickBot="1" x14ac:dyDescent="0.25">
      <c r="A235" s="70" t="s">
        <v>92</v>
      </c>
      <c r="B235" s="70">
        <v>1</v>
      </c>
      <c r="C235" s="70">
        <v>1</v>
      </c>
      <c r="D235" s="70">
        <v>1</v>
      </c>
      <c r="E235" s="70">
        <v>1</v>
      </c>
      <c r="F235" s="70">
        <v>1</v>
      </c>
      <c r="G235" s="70">
        <v>1</v>
      </c>
      <c r="H235" s="70">
        <v>1</v>
      </c>
      <c r="I235" s="70">
        <v>1</v>
      </c>
      <c r="J235" s="70">
        <v>0.5</v>
      </c>
      <c r="K235" s="70">
        <v>1</v>
      </c>
      <c r="L235" s="70">
        <v>1</v>
      </c>
      <c r="M235" s="70">
        <v>1</v>
      </c>
      <c r="N235" s="70">
        <v>1</v>
      </c>
      <c r="O235" s="70">
        <v>1</v>
      </c>
      <c r="P235" s="70">
        <v>1</v>
      </c>
      <c r="Q235" s="70">
        <v>0</v>
      </c>
      <c r="R235" s="70">
        <v>14.5</v>
      </c>
      <c r="S235" s="71">
        <v>0.80555555555555558</v>
      </c>
      <c r="T235" s="64"/>
      <c r="U235" s="64"/>
      <c r="V235" s="64"/>
      <c r="W235" s="64"/>
      <c r="X235" s="64"/>
      <c r="Y235" s="64"/>
      <c r="Z235" s="64"/>
      <c r="AA235" s="64"/>
      <c r="AB235" s="64"/>
      <c r="AC235" s="64"/>
      <c r="AD235" s="64"/>
      <c r="AE235" s="64"/>
    </row>
    <row r="236" spans="1:36" ht="14.1" customHeight="1" x14ac:dyDescent="0.2"/>
    <row r="237" spans="1:36" ht="23.25" customHeight="1" x14ac:dyDescent="0.25">
      <c r="A237" s="74" t="s">
        <v>123</v>
      </c>
    </row>
    <row r="238" spans="1:36" ht="14.1" customHeight="1" x14ac:dyDescent="0.2"/>
    <row r="239" spans="1:36" ht="14.1" customHeight="1" x14ac:dyDescent="0.2">
      <c r="A239" s="91" t="s">
        <v>99</v>
      </c>
      <c r="B239" s="96"/>
      <c r="C239" s="96"/>
      <c r="D239" s="96"/>
      <c r="E239" s="96"/>
      <c r="F239" s="96"/>
      <c r="G239" s="96"/>
      <c r="H239" s="96"/>
      <c r="I239" s="96"/>
      <c r="J239" s="96"/>
      <c r="K239" s="96"/>
      <c r="L239" s="96"/>
      <c r="M239" s="96"/>
      <c r="N239" s="96"/>
      <c r="O239" s="96"/>
      <c r="P239" s="96"/>
      <c r="Q239" s="96"/>
      <c r="R239" s="96"/>
      <c r="S239" s="96"/>
      <c r="T239" s="96"/>
      <c r="U239" s="96"/>
      <c r="V239" s="96"/>
      <c r="W239" s="96"/>
      <c r="X239" s="96"/>
      <c r="Y239" s="96"/>
      <c r="Z239" s="96"/>
      <c r="AA239" s="96"/>
      <c r="AB239" s="96"/>
      <c r="AC239" s="96"/>
    </row>
    <row r="240" spans="1:36" ht="14.1" customHeight="1" x14ac:dyDescent="0.2">
      <c r="A240" s="96"/>
      <c r="B240" s="96"/>
      <c r="C240" s="96"/>
      <c r="D240" s="96"/>
      <c r="E240" s="96"/>
      <c r="F240" s="96"/>
      <c r="G240" s="96"/>
      <c r="H240" s="96"/>
      <c r="I240" s="96"/>
      <c r="J240" s="96"/>
      <c r="K240" s="96"/>
      <c r="L240" s="96"/>
      <c r="M240" s="96"/>
      <c r="N240" s="96"/>
      <c r="O240" s="96"/>
      <c r="P240" s="96"/>
      <c r="Q240" s="96"/>
      <c r="R240" s="96"/>
      <c r="S240" s="96"/>
      <c r="T240" s="96"/>
      <c r="U240" s="96"/>
      <c r="V240" s="96"/>
      <c r="W240" s="96"/>
      <c r="X240" s="96"/>
      <c r="Y240" s="96"/>
      <c r="Z240" s="96"/>
      <c r="AA240" s="96"/>
      <c r="AB240" s="96"/>
      <c r="AC240" s="96"/>
    </row>
    <row r="241" spans="1:36" ht="14.1" customHeight="1" x14ac:dyDescent="0.2">
      <c r="A241" s="96"/>
      <c r="B241" s="96"/>
      <c r="C241" s="96"/>
      <c r="D241" s="96"/>
      <c r="E241" s="96"/>
      <c r="F241" s="96"/>
      <c r="G241" s="96"/>
      <c r="H241" s="96"/>
      <c r="I241" s="96"/>
      <c r="J241" s="96"/>
      <c r="K241" s="96"/>
      <c r="L241" s="96"/>
      <c r="M241" s="96"/>
      <c r="N241" s="96"/>
      <c r="O241" s="96"/>
      <c r="P241" s="96"/>
      <c r="Q241" s="96"/>
      <c r="R241" s="96"/>
      <c r="S241" s="96"/>
      <c r="T241" s="96"/>
      <c r="U241" s="96"/>
      <c r="V241" s="96"/>
      <c r="W241" s="96"/>
      <c r="X241" s="96"/>
      <c r="Y241" s="96"/>
      <c r="Z241" s="96"/>
      <c r="AA241" s="96"/>
      <c r="AB241" s="96"/>
      <c r="AC241" s="96"/>
    </row>
    <row r="242" spans="1:36" ht="14.1" customHeight="1" x14ac:dyDescent="0.2">
      <c r="A242" s="96"/>
      <c r="B242" s="96"/>
      <c r="C242" s="96"/>
      <c r="D242" s="96"/>
      <c r="E242" s="96"/>
      <c r="F242" s="96"/>
      <c r="G242" s="96"/>
      <c r="H242" s="96"/>
      <c r="I242" s="96"/>
      <c r="J242" s="96"/>
      <c r="K242" s="96"/>
      <c r="L242" s="96"/>
      <c r="M242" s="96"/>
      <c r="N242" s="96"/>
      <c r="O242" s="96"/>
      <c r="P242" s="96"/>
      <c r="Q242" s="96"/>
      <c r="R242" s="96"/>
      <c r="S242" s="96"/>
      <c r="T242" s="96"/>
      <c r="U242" s="96"/>
      <c r="V242" s="96"/>
      <c r="W242" s="96"/>
      <c r="X242" s="96"/>
      <c r="Y242" s="96"/>
      <c r="Z242" s="96"/>
      <c r="AA242" s="96"/>
      <c r="AB242" s="96"/>
      <c r="AC242" s="96"/>
    </row>
    <row r="243" spans="1:36" ht="14.1" customHeight="1" x14ac:dyDescent="0.2"/>
    <row r="244" spans="1:36" ht="14.1" customHeight="1" x14ac:dyDescent="0.2">
      <c r="A244" s="97" t="s">
        <v>100</v>
      </c>
      <c r="B244" s="98"/>
      <c r="C244" s="98"/>
      <c r="D244" s="98"/>
      <c r="E244" s="98"/>
      <c r="F244" s="98"/>
      <c r="G244" s="98"/>
      <c r="H244" s="98"/>
      <c r="I244" s="98"/>
      <c r="J244" s="98"/>
      <c r="K244" s="98"/>
      <c r="L244" s="98"/>
      <c r="M244" s="98"/>
      <c r="N244" s="98"/>
      <c r="O244" s="98"/>
      <c r="P244" s="98"/>
      <c r="Q244" s="98"/>
      <c r="R244" s="98"/>
      <c r="S244" s="98"/>
      <c r="T244" s="98"/>
      <c r="U244" s="98"/>
      <c r="V244" s="98"/>
      <c r="W244" s="98"/>
      <c r="X244" s="98"/>
      <c r="Y244" s="98"/>
      <c r="Z244" s="98"/>
      <c r="AA244" s="98"/>
      <c r="AB244" s="98"/>
      <c r="AC244" s="98"/>
    </row>
    <row r="245" spans="1:36" ht="14.1" customHeight="1" x14ac:dyDescent="0.2">
      <c r="A245" s="98"/>
      <c r="B245" s="98"/>
      <c r="C245" s="98"/>
      <c r="D245" s="98"/>
      <c r="E245" s="98"/>
      <c r="F245" s="98"/>
      <c r="G245" s="98"/>
      <c r="H245" s="98"/>
      <c r="I245" s="98"/>
      <c r="J245" s="98"/>
      <c r="K245" s="98"/>
      <c r="L245" s="98"/>
      <c r="M245" s="98"/>
      <c r="N245" s="98"/>
      <c r="O245" s="98"/>
      <c r="P245" s="98"/>
      <c r="Q245" s="98"/>
      <c r="R245" s="98"/>
      <c r="S245" s="98"/>
      <c r="T245" s="98"/>
      <c r="U245" s="98"/>
      <c r="V245" s="98"/>
      <c r="W245" s="98"/>
      <c r="X245" s="98"/>
      <c r="Y245" s="98"/>
      <c r="Z245" s="98"/>
      <c r="AA245" s="98"/>
      <c r="AB245" s="98"/>
      <c r="AC245" s="98"/>
    </row>
    <row r="246" spans="1:36" ht="14.1" customHeight="1" x14ac:dyDescent="0.2">
      <c r="A246" s="98"/>
      <c r="B246" s="98"/>
      <c r="C246" s="98"/>
      <c r="D246" s="98"/>
      <c r="E246" s="98"/>
      <c r="F246" s="98"/>
      <c r="G246" s="98"/>
      <c r="H246" s="98"/>
      <c r="I246" s="98"/>
      <c r="J246" s="98"/>
      <c r="K246" s="98"/>
      <c r="L246" s="98"/>
      <c r="M246" s="98"/>
      <c r="N246" s="98"/>
      <c r="O246" s="98"/>
      <c r="P246" s="98"/>
      <c r="Q246" s="98"/>
      <c r="R246" s="98"/>
      <c r="S246" s="98"/>
      <c r="T246" s="98"/>
      <c r="U246" s="98"/>
      <c r="V246" s="98"/>
      <c r="W246" s="98"/>
      <c r="X246" s="98"/>
      <c r="Y246" s="98"/>
      <c r="Z246" s="98"/>
      <c r="AA246" s="98"/>
      <c r="AB246" s="98"/>
      <c r="AC246" s="98"/>
    </row>
    <row r="247" spans="1:36" ht="14.1" customHeight="1" x14ac:dyDescent="0.2">
      <c r="A247" s="98"/>
      <c r="B247" s="98"/>
      <c r="C247" s="98"/>
      <c r="D247" s="98"/>
      <c r="E247" s="98"/>
      <c r="F247" s="98"/>
      <c r="G247" s="98"/>
      <c r="H247" s="98"/>
      <c r="I247" s="98"/>
      <c r="J247" s="98"/>
      <c r="K247" s="98"/>
      <c r="L247" s="98"/>
      <c r="M247" s="98"/>
      <c r="N247" s="98"/>
      <c r="O247" s="98"/>
      <c r="P247" s="98"/>
      <c r="Q247" s="98"/>
      <c r="R247" s="98"/>
      <c r="S247" s="98"/>
      <c r="T247" s="98"/>
      <c r="U247" s="98"/>
      <c r="V247" s="98"/>
      <c r="W247" s="98"/>
      <c r="X247" s="98"/>
      <c r="Y247" s="98"/>
      <c r="Z247" s="98"/>
      <c r="AA247" s="98"/>
      <c r="AB247" s="98"/>
      <c r="AC247" s="98"/>
    </row>
    <row r="248" spans="1:36" ht="14.1" customHeight="1" x14ac:dyDescent="0.2">
      <c r="A248" s="98"/>
      <c r="B248" s="98"/>
      <c r="C248" s="98"/>
      <c r="D248" s="98"/>
      <c r="E248" s="98"/>
      <c r="F248" s="98"/>
      <c r="G248" s="98"/>
      <c r="H248" s="98"/>
      <c r="I248" s="98"/>
      <c r="J248" s="98"/>
      <c r="K248" s="98"/>
      <c r="L248" s="98"/>
      <c r="M248" s="98"/>
      <c r="N248" s="98"/>
      <c r="O248" s="98"/>
      <c r="P248" s="98"/>
      <c r="Q248" s="98"/>
      <c r="R248" s="98"/>
      <c r="S248" s="98"/>
      <c r="T248" s="98"/>
      <c r="U248" s="98"/>
      <c r="V248" s="98"/>
      <c r="W248" s="98"/>
      <c r="X248" s="98"/>
      <c r="Y248" s="98"/>
      <c r="Z248" s="98"/>
      <c r="AA248" s="98"/>
      <c r="AB248" s="98"/>
      <c r="AC248" s="98"/>
    </row>
    <row r="249" spans="1:36" ht="14.1" customHeight="1" x14ac:dyDescent="0.2">
      <c r="A249" s="98"/>
      <c r="B249" s="98"/>
      <c r="C249" s="98"/>
      <c r="D249" s="98"/>
      <c r="E249" s="98"/>
      <c r="F249" s="98"/>
      <c r="G249" s="98"/>
      <c r="H249" s="98"/>
      <c r="I249" s="98"/>
      <c r="J249" s="98"/>
      <c r="K249" s="98"/>
      <c r="L249" s="98"/>
      <c r="M249" s="98"/>
      <c r="N249" s="98"/>
      <c r="O249" s="98"/>
      <c r="P249" s="98"/>
      <c r="Q249" s="98"/>
      <c r="R249" s="98"/>
      <c r="S249" s="98"/>
      <c r="T249" s="98"/>
      <c r="U249" s="98"/>
      <c r="V249" s="98"/>
      <c r="W249" s="98"/>
      <c r="X249" s="98"/>
      <c r="Y249" s="98"/>
      <c r="Z249" s="98"/>
      <c r="AA249" s="98"/>
      <c r="AB249" s="98"/>
      <c r="AC249" s="98"/>
    </row>
    <row r="250" spans="1:36" ht="14.1" customHeight="1" x14ac:dyDescent="0.2">
      <c r="A250" s="98"/>
      <c r="B250" s="98"/>
      <c r="C250" s="98"/>
      <c r="D250" s="98"/>
      <c r="E250" s="98"/>
      <c r="F250" s="98"/>
      <c r="G250" s="98"/>
      <c r="H250" s="98"/>
      <c r="I250" s="98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98"/>
      <c r="V250" s="98"/>
      <c r="W250" s="98"/>
      <c r="X250" s="98"/>
      <c r="Y250" s="98"/>
      <c r="Z250" s="98"/>
      <c r="AA250" s="98"/>
      <c r="AB250" s="98"/>
      <c r="AC250" s="98"/>
    </row>
    <row r="251" spans="1:36" ht="14.1" customHeight="1" x14ac:dyDescent="0.2">
      <c r="A251" s="98"/>
      <c r="B251" s="98"/>
      <c r="C251" s="98"/>
      <c r="D251" s="98"/>
      <c r="E251" s="98"/>
      <c r="F251" s="98"/>
      <c r="G251" s="98"/>
      <c r="H251" s="98"/>
      <c r="I251" s="98"/>
      <c r="J251" s="98"/>
      <c r="K251" s="98"/>
      <c r="L251" s="98"/>
      <c r="M251" s="98"/>
      <c r="N251" s="98"/>
      <c r="O251" s="98"/>
      <c r="P251" s="98"/>
      <c r="Q251" s="98"/>
      <c r="R251" s="98"/>
      <c r="S251" s="98"/>
      <c r="T251" s="98"/>
      <c r="U251" s="98"/>
      <c r="V251" s="98"/>
      <c r="W251" s="98"/>
      <c r="X251" s="98"/>
      <c r="Y251" s="98"/>
      <c r="Z251" s="98"/>
      <c r="AA251" s="98"/>
      <c r="AB251" s="98"/>
      <c r="AC251" s="98"/>
    </row>
    <row r="252" spans="1:36" ht="24.95" customHeight="1" x14ac:dyDescent="0.25">
      <c r="A252" s="89" t="s">
        <v>103</v>
      </c>
      <c r="B252" s="90"/>
      <c r="C252" s="90"/>
      <c r="D252" s="90"/>
      <c r="E252" s="90"/>
      <c r="F252" s="90"/>
      <c r="G252" s="90"/>
      <c r="H252" s="90"/>
      <c r="I252" s="90"/>
      <c r="J252" s="90"/>
      <c r="K252" s="90"/>
      <c r="L252" s="90"/>
      <c r="M252" s="90"/>
      <c r="N252" s="90"/>
      <c r="O252" s="90"/>
      <c r="P252" s="90"/>
      <c r="Q252" s="90"/>
      <c r="R252" s="90"/>
      <c r="S252" s="90"/>
      <c r="T252" s="90"/>
      <c r="U252" s="90"/>
      <c r="V252" s="90"/>
      <c r="W252" s="90"/>
      <c r="X252" s="90"/>
      <c r="Y252" s="90"/>
      <c r="Z252" s="90"/>
      <c r="AA252" s="90"/>
      <c r="AB252" s="90"/>
      <c r="AC252" s="90"/>
      <c r="AD252" s="90"/>
      <c r="AE252" s="90"/>
      <c r="AF252" s="90"/>
      <c r="AG252" s="90"/>
      <c r="AH252" s="90"/>
      <c r="AI252" s="90"/>
      <c r="AJ252" s="90"/>
    </row>
    <row r="253" spans="1:36" ht="120" customHeight="1" x14ac:dyDescent="0.2">
      <c r="A253" s="91" t="s">
        <v>133</v>
      </c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</row>
    <row r="254" spans="1:36" ht="14.1" customHeight="1" x14ac:dyDescent="0.2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</row>
    <row r="255" spans="1:36" ht="14.1" customHeight="1" x14ac:dyDescent="0.2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</row>
    <row r="256" spans="1:36" ht="14.1" customHeight="1" thickBot="1" x14ac:dyDescent="0.2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</row>
    <row r="257" spans="1:36" ht="99" customHeight="1" x14ac:dyDescent="0.2">
      <c r="A257" s="73" t="s">
        <v>1</v>
      </c>
      <c r="B257" s="93" t="s">
        <v>39</v>
      </c>
      <c r="C257" s="94"/>
      <c r="D257" s="94"/>
      <c r="E257" s="94"/>
      <c r="F257" s="94"/>
      <c r="G257" s="94"/>
      <c r="H257" s="95"/>
      <c r="I257" s="93" t="s">
        <v>93</v>
      </c>
      <c r="J257" s="94"/>
      <c r="K257" s="95"/>
      <c r="L257" s="93" t="s">
        <v>94</v>
      </c>
      <c r="M257" s="94"/>
      <c r="N257" s="95"/>
      <c r="O257" s="93" t="s">
        <v>95</v>
      </c>
      <c r="P257" s="94"/>
      <c r="Q257" s="95"/>
      <c r="R257" s="66"/>
      <c r="S257" s="67"/>
      <c r="T257" s="65"/>
      <c r="U257" s="65"/>
      <c r="V257" s="65"/>
      <c r="W257" s="65"/>
      <c r="X257" s="65"/>
      <c r="Y257" s="65"/>
      <c r="Z257" s="65"/>
      <c r="AA257" s="65"/>
      <c r="AB257" s="65"/>
      <c r="AC257" s="65"/>
      <c r="AD257" s="65"/>
      <c r="AE257" s="65"/>
      <c r="AF257" s="68"/>
      <c r="AG257" s="68"/>
      <c r="AH257" s="68"/>
      <c r="AI257" s="68"/>
      <c r="AJ257" s="68"/>
    </row>
    <row r="258" spans="1:36" ht="14.1" customHeight="1" x14ac:dyDescent="0.2">
      <c r="A258" s="69" t="s">
        <v>2</v>
      </c>
      <c r="B258" s="69">
        <v>1</v>
      </c>
      <c r="C258" s="69">
        <v>2</v>
      </c>
      <c r="D258" s="69">
        <v>3</v>
      </c>
      <c r="E258" s="69">
        <v>4</v>
      </c>
      <c r="F258" s="69">
        <v>5</v>
      </c>
      <c r="G258" s="69">
        <v>6</v>
      </c>
      <c r="H258" s="69">
        <v>7</v>
      </c>
      <c r="I258" s="69">
        <v>8</v>
      </c>
      <c r="J258" s="69">
        <v>9</v>
      </c>
      <c r="K258" s="69">
        <v>10</v>
      </c>
      <c r="L258" s="69">
        <v>11</v>
      </c>
      <c r="M258" s="69">
        <v>12</v>
      </c>
      <c r="N258" s="69">
        <v>13</v>
      </c>
      <c r="O258" s="69">
        <v>14</v>
      </c>
      <c r="P258" s="69">
        <v>15</v>
      </c>
      <c r="Q258" s="69">
        <v>16</v>
      </c>
      <c r="R258" s="69" t="s">
        <v>4</v>
      </c>
      <c r="S258" s="72" t="s">
        <v>17</v>
      </c>
      <c r="T258" s="64"/>
      <c r="U258" s="64"/>
      <c r="V258" s="64"/>
      <c r="W258" s="64"/>
      <c r="X258" s="64"/>
      <c r="Y258" s="64"/>
      <c r="Z258" s="64"/>
      <c r="AA258" s="64"/>
      <c r="AB258" s="64"/>
      <c r="AC258" s="64"/>
      <c r="AD258" s="64"/>
      <c r="AE258" s="64"/>
    </row>
    <row r="259" spans="1:36" ht="14.1" customHeight="1" x14ac:dyDescent="0.2">
      <c r="A259" s="69" t="s">
        <v>3</v>
      </c>
      <c r="B259" s="69">
        <v>1</v>
      </c>
      <c r="C259" s="69">
        <v>1</v>
      </c>
      <c r="D259" s="69">
        <v>1</v>
      </c>
      <c r="E259" s="69">
        <v>1</v>
      </c>
      <c r="F259" s="69">
        <v>1</v>
      </c>
      <c r="G259" s="69">
        <v>1</v>
      </c>
      <c r="H259" s="69">
        <v>3</v>
      </c>
      <c r="I259" s="69">
        <v>1</v>
      </c>
      <c r="J259" s="69">
        <v>1</v>
      </c>
      <c r="K259" s="69">
        <v>1</v>
      </c>
      <c r="L259" s="69">
        <v>1</v>
      </c>
      <c r="M259" s="69">
        <v>1</v>
      </c>
      <c r="N259" s="69">
        <v>1</v>
      </c>
      <c r="O259" s="69">
        <v>1</v>
      </c>
      <c r="P259" s="69">
        <v>1</v>
      </c>
      <c r="Q259" s="69">
        <v>1</v>
      </c>
      <c r="R259" s="69">
        <v>18</v>
      </c>
      <c r="S259" s="72"/>
      <c r="T259" s="64"/>
      <c r="U259" s="64"/>
      <c r="V259" s="64"/>
      <c r="W259" s="64"/>
      <c r="X259" s="64"/>
      <c r="Y259" s="64"/>
      <c r="Z259" s="64"/>
      <c r="AA259" s="64"/>
      <c r="AB259" s="64"/>
      <c r="AC259" s="64"/>
      <c r="AD259" s="64"/>
      <c r="AE259" s="64"/>
    </row>
    <row r="260" spans="1:36" ht="14.1" customHeight="1" thickBot="1" x14ac:dyDescent="0.25">
      <c r="A260" s="70" t="s">
        <v>92</v>
      </c>
      <c r="B260" s="70">
        <v>1</v>
      </c>
      <c r="C260" s="70">
        <v>1</v>
      </c>
      <c r="D260" s="70">
        <v>1</v>
      </c>
      <c r="E260" s="70">
        <v>1</v>
      </c>
      <c r="F260" s="70">
        <v>1</v>
      </c>
      <c r="G260" s="70">
        <v>1</v>
      </c>
      <c r="H260" s="70">
        <v>3</v>
      </c>
      <c r="I260" s="70">
        <v>1</v>
      </c>
      <c r="J260" s="70">
        <v>1</v>
      </c>
      <c r="K260" s="70">
        <v>1</v>
      </c>
      <c r="L260" s="70">
        <v>1</v>
      </c>
      <c r="M260" s="70">
        <v>0</v>
      </c>
      <c r="N260" s="70">
        <v>1</v>
      </c>
      <c r="O260" s="70">
        <v>1</v>
      </c>
      <c r="P260" s="70">
        <v>1</v>
      </c>
      <c r="Q260" s="70">
        <v>1</v>
      </c>
      <c r="R260" s="70">
        <v>17</v>
      </c>
      <c r="S260" s="71">
        <v>0.94444444444444442</v>
      </c>
      <c r="T260" s="64"/>
      <c r="U260" s="64"/>
      <c r="V260" s="64"/>
      <c r="W260" s="64"/>
      <c r="X260" s="64"/>
      <c r="Y260" s="64"/>
      <c r="Z260" s="64"/>
      <c r="AA260" s="64"/>
      <c r="AB260" s="64"/>
      <c r="AC260" s="64"/>
      <c r="AD260" s="64"/>
      <c r="AE260" s="64"/>
    </row>
    <row r="261" spans="1:36" ht="14.1" customHeight="1" x14ac:dyDescent="0.2"/>
    <row r="262" spans="1:36" ht="23.25" customHeight="1" x14ac:dyDescent="0.25">
      <c r="A262" s="74" t="s">
        <v>123</v>
      </c>
    </row>
    <row r="263" spans="1:36" ht="14.1" customHeight="1" x14ac:dyDescent="0.2"/>
    <row r="264" spans="1:36" ht="14.1" customHeight="1" x14ac:dyDescent="0.2">
      <c r="A264" s="91" t="s">
        <v>99</v>
      </c>
      <c r="B264" s="96"/>
      <c r="C264" s="96"/>
      <c r="D264" s="96"/>
      <c r="E264" s="96"/>
      <c r="F264" s="96"/>
      <c r="G264" s="96"/>
      <c r="H264" s="96"/>
      <c r="I264" s="96"/>
      <c r="J264" s="96"/>
      <c r="K264" s="96"/>
      <c r="L264" s="96"/>
      <c r="M264" s="96"/>
      <c r="N264" s="96"/>
      <c r="O264" s="96"/>
      <c r="P264" s="96"/>
      <c r="Q264" s="96"/>
      <c r="R264" s="96"/>
      <c r="S264" s="96"/>
      <c r="T264" s="96"/>
      <c r="U264" s="96"/>
      <c r="V264" s="96"/>
      <c r="W264" s="96"/>
      <c r="X264" s="96"/>
      <c r="Y264" s="96"/>
      <c r="Z264" s="96"/>
      <c r="AA264" s="96"/>
      <c r="AB264" s="96"/>
      <c r="AC264" s="96"/>
    </row>
    <row r="265" spans="1:36" ht="14.1" customHeight="1" x14ac:dyDescent="0.2">
      <c r="A265" s="96"/>
      <c r="B265" s="96"/>
      <c r="C265" s="96"/>
      <c r="D265" s="96"/>
      <c r="E265" s="96"/>
      <c r="F265" s="96"/>
      <c r="G265" s="96"/>
      <c r="H265" s="96"/>
      <c r="I265" s="96"/>
      <c r="J265" s="96"/>
      <c r="K265" s="96"/>
      <c r="L265" s="96"/>
      <c r="M265" s="96"/>
      <c r="N265" s="96"/>
      <c r="O265" s="96"/>
      <c r="P265" s="96"/>
      <c r="Q265" s="96"/>
      <c r="R265" s="96"/>
      <c r="S265" s="96"/>
      <c r="T265" s="96"/>
      <c r="U265" s="96"/>
      <c r="V265" s="96"/>
      <c r="W265" s="96"/>
      <c r="X265" s="96"/>
      <c r="Y265" s="96"/>
      <c r="Z265" s="96"/>
      <c r="AA265" s="96"/>
      <c r="AB265" s="96"/>
      <c r="AC265" s="96"/>
    </row>
    <row r="266" spans="1:36" ht="14.1" customHeight="1" x14ac:dyDescent="0.2">
      <c r="A266" s="96"/>
      <c r="B266" s="96"/>
      <c r="C266" s="96"/>
      <c r="D266" s="96"/>
      <c r="E266" s="96"/>
      <c r="F266" s="96"/>
      <c r="G266" s="96"/>
      <c r="H266" s="96"/>
      <c r="I266" s="96"/>
      <c r="J266" s="96"/>
      <c r="K266" s="96"/>
      <c r="L266" s="96"/>
      <c r="M266" s="96"/>
      <c r="N266" s="96"/>
      <c r="O266" s="96"/>
      <c r="P266" s="96"/>
      <c r="Q266" s="96"/>
      <c r="R266" s="96"/>
      <c r="S266" s="96"/>
      <c r="T266" s="96"/>
      <c r="U266" s="96"/>
      <c r="V266" s="96"/>
      <c r="W266" s="96"/>
      <c r="X266" s="96"/>
      <c r="Y266" s="96"/>
      <c r="Z266" s="96"/>
      <c r="AA266" s="96"/>
      <c r="AB266" s="96"/>
      <c r="AC266" s="96"/>
    </row>
    <row r="267" spans="1:36" ht="14.1" customHeight="1" x14ac:dyDescent="0.2">
      <c r="A267" s="96"/>
      <c r="B267" s="96"/>
      <c r="C267" s="96"/>
      <c r="D267" s="96"/>
      <c r="E267" s="96"/>
      <c r="F267" s="96"/>
      <c r="G267" s="96"/>
      <c r="H267" s="96"/>
      <c r="I267" s="96"/>
      <c r="J267" s="96"/>
      <c r="K267" s="96"/>
      <c r="L267" s="96"/>
      <c r="M267" s="96"/>
      <c r="N267" s="96"/>
      <c r="O267" s="96"/>
      <c r="P267" s="96"/>
      <c r="Q267" s="96"/>
      <c r="R267" s="96"/>
      <c r="S267" s="96"/>
      <c r="T267" s="96"/>
      <c r="U267" s="96"/>
      <c r="V267" s="96"/>
      <c r="W267" s="96"/>
      <c r="X267" s="96"/>
      <c r="Y267" s="96"/>
      <c r="Z267" s="96"/>
      <c r="AA267" s="96"/>
      <c r="AB267" s="96"/>
      <c r="AC267" s="96"/>
    </row>
    <row r="268" spans="1:36" ht="14.1" customHeight="1" x14ac:dyDescent="0.2"/>
    <row r="269" spans="1:36" ht="14.1" customHeight="1" x14ac:dyDescent="0.2">
      <c r="A269" s="97" t="s">
        <v>100</v>
      </c>
      <c r="B269" s="98"/>
      <c r="C269" s="98"/>
      <c r="D269" s="98"/>
      <c r="E269" s="98"/>
      <c r="F269" s="98"/>
      <c r="G269" s="98"/>
      <c r="H269" s="98"/>
      <c r="I269" s="98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98"/>
      <c r="V269" s="98"/>
      <c r="W269" s="98"/>
      <c r="X269" s="98"/>
      <c r="Y269" s="98"/>
      <c r="Z269" s="98"/>
      <c r="AA269" s="98"/>
      <c r="AB269" s="98"/>
      <c r="AC269" s="98"/>
    </row>
    <row r="270" spans="1:36" ht="14.1" customHeight="1" x14ac:dyDescent="0.2">
      <c r="A270" s="98"/>
      <c r="B270" s="98"/>
      <c r="C270" s="98"/>
      <c r="D270" s="98"/>
      <c r="E270" s="98"/>
      <c r="F270" s="98"/>
      <c r="G270" s="98"/>
      <c r="H270" s="98"/>
      <c r="I270" s="98"/>
      <c r="J270" s="98"/>
      <c r="K270" s="98"/>
      <c r="L270" s="98"/>
      <c r="M270" s="98"/>
      <c r="N270" s="98"/>
      <c r="O270" s="98"/>
      <c r="P270" s="98"/>
      <c r="Q270" s="98"/>
      <c r="R270" s="98"/>
      <c r="S270" s="98"/>
      <c r="T270" s="98"/>
      <c r="U270" s="98"/>
      <c r="V270" s="98"/>
      <c r="W270" s="98"/>
      <c r="X270" s="98"/>
      <c r="Y270" s="98"/>
      <c r="Z270" s="98"/>
      <c r="AA270" s="98"/>
      <c r="AB270" s="98"/>
      <c r="AC270" s="98"/>
    </row>
    <row r="271" spans="1:36" ht="14.1" customHeight="1" x14ac:dyDescent="0.2">
      <c r="A271" s="98"/>
      <c r="B271" s="98"/>
      <c r="C271" s="98"/>
      <c r="D271" s="98"/>
      <c r="E271" s="98"/>
      <c r="F271" s="98"/>
      <c r="G271" s="98"/>
      <c r="H271" s="98"/>
      <c r="I271" s="98"/>
      <c r="J271" s="98"/>
      <c r="K271" s="98"/>
      <c r="L271" s="98"/>
      <c r="M271" s="98"/>
      <c r="N271" s="98"/>
      <c r="O271" s="98"/>
      <c r="P271" s="98"/>
      <c r="Q271" s="98"/>
      <c r="R271" s="98"/>
      <c r="S271" s="98"/>
      <c r="T271" s="98"/>
      <c r="U271" s="98"/>
      <c r="V271" s="98"/>
      <c r="W271" s="98"/>
      <c r="X271" s="98"/>
      <c r="Y271" s="98"/>
      <c r="Z271" s="98"/>
      <c r="AA271" s="98"/>
      <c r="AB271" s="98"/>
      <c r="AC271" s="98"/>
    </row>
    <row r="272" spans="1:36" ht="14.1" customHeight="1" x14ac:dyDescent="0.2">
      <c r="A272" s="98"/>
      <c r="B272" s="98"/>
      <c r="C272" s="98"/>
      <c r="D272" s="98"/>
      <c r="E272" s="98"/>
      <c r="F272" s="98"/>
      <c r="G272" s="98"/>
      <c r="H272" s="98"/>
      <c r="I272" s="98"/>
      <c r="J272" s="98"/>
      <c r="K272" s="98"/>
      <c r="L272" s="98"/>
      <c r="M272" s="98"/>
      <c r="N272" s="98"/>
      <c r="O272" s="98"/>
      <c r="P272" s="98"/>
      <c r="Q272" s="98"/>
      <c r="R272" s="98"/>
      <c r="S272" s="98"/>
      <c r="T272" s="98"/>
      <c r="U272" s="98"/>
      <c r="V272" s="98"/>
      <c r="W272" s="98"/>
      <c r="X272" s="98"/>
      <c r="Y272" s="98"/>
      <c r="Z272" s="98"/>
      <c r="AA272" s="98"/>
      <c r="AB272" s="98"/>
      <c r="AC272" s="98"/>
    </row>
    <row r="273" spans="1:36" ht="14.1" customHeight="1" x14ac:dyDescent="0.2">
      <c r="A273" s="98"/>
      <c r="B273" s="98"/>
      <c r="C273" s="98"/>
      <c r="D273" s="98"/>
      <c r="E273" s="98"/>
      <c r="F273" s="98"/>
      <c r="G273" s="98"/>
      <c r="H273" s="98"/>
      <c r="I273" s="98"/>
      <c r="J273" s="98"/>
      <c r="K273" s="98"/>
      <c r="L273" s="98"/>
      <c r="M273" s="98"/>
      <c r="N273" s="98"/>
      <c r="O273" s="98"/>
      <c r="P273" s="98"/>
      <c r="Q273" s="98"/>
      <c r="R273" s="98"/>
      <c r="S273" s="98"/>
      <c r="T273" s="98"/>
      <c r="U273" s="98"/>
      <c r="V273" s="98"/>
      <c r="W273" s="98"/>
      <c r="X273" s="98"/>
      <c r="Y273" s="98"/>
      <c r="Z273" s="98"/>
      <c r="AA273" s="98"/>
      <c r="AB273" s="98"/>
      <c r="AC273" s="98"/>
    </row>
    <row r="274" spans="1:36" ht="14.1" customHeight="1" x14ac:dyDescent="0.2">
      <c r="A274" s="98"/>
      <c r="B274" s="98"/>
      <c r="C274" s="98"/>
      <c r="D274" s="98"/>
      <c r="E274" s="98"/>
      <c r="F274" s="98"/>
      <c r="G274" s="98"/>
      <c r="H274" s="98"/>
      <c r="I274" s="98"/>
      <c r="J274" s="98"/>
      <c r="K274" s="98"/>
      <c r="L274" s="98"/>
      <c r="M274" s="98"/>
      <c r="N274" s="98"/>
      <c r="O274" s="98"/>
      <c r="P274" s="98"/>
      <c r="Q274" s="98"/>
      <c r="R274" s="98"/>
      <c r="S274" s="98"/>
      <c r="T274" s="98"/>
      <c r="U274" s="98"/>
      <c r="V274" s="98"/>
      <c r="W274" s="98"/>
      <c r="X274" s="98"/>
      <c r="Y274" s="98"/>
      <c r="Z274" s="98"/>
      <c r="AA274" s="98"/>
      <c r="AB274" s="98"/>
      <c r="AC274" s="98"/>
    </row>
    <row r="275" spans="1:36" ht="14.1" customHeight="1" x14ac:dyDescent="0.2">
      <c r="A275" s="98"/>
      <c r="B275" s="98"/>
      <c r="C275" s="98"/>
      <c r="D275" s="98"/>
      <c r="E275" s="98"/>
      <c r="F275" s="98"/>
      <c r="G275" s="98"/>
      <c r="H275" s="98"/>
      <c r="I275" s="98"/>
      <c r="J275" s="98"/>
      <c r="K275" s="98"/>
      <c r="L275" s="98"/>
      <c r="M275" s="98"/>
      <c r="N275" s="98"/>
      <c r="O275" s="98"/>
      <c r="P275" s="98"/>
      <c r="Q275" s="98"/>
      <c r="R275" s="98"/>
      <c r="S275" s="98"/>
      <c r="T275" s="98"/>
      <c r="U275" s="98"/>
      <c r="V275" s="98"/>
      <c r="W275" s="98"/>
      <c r="X275" s="98"/>
      <c r="Y275" s="98"/>
      <c r="Z275" s="98"/>
      <c r="AA275" s="98"/>
      <c r="AB275" s="98"/>
      <c r="AC275" s="98"/>
    </row>
    <row r="276" spans="1:36" ht="14.1" customHeight="1" x14ac:dyDescent="0.2">
      <c r="A276" s="98"/>
      <c r="B276" s="98"/>
      <c r="C276" s="98"/>
      <c r="D276" s="98"/>
      <c r="E276" s="98"/>
      <c r="F276" s="98"/>
      <c r="G276" s="98"/>
      <c r="H276" s="98"/>
      <c r="I276" s="98"/>
      <c r="J276" s="98"/>
      <c r="K276" s="98"/>
      <c r="L276" s="98"/>
      <c r="M276" s="98"/>
      <c r="N276" s="98"/>
      <c r="O276" s="98"/>
      <c r="P276" s="98"/>
      <c r="Q276" s="98"/>
      <c r="R276" s="98"/>
      <c r="S276" s="98"/>
      <c r="T276" s="98"/>
      <c r="U276" s="98"/>
      <c r="V276" s="98"/>
      <c r="W276" s="98"/>
      <c r="X276" s="98"/>
      <c r="Y276" s="98"/>
      <c r="Z276" s="98"/>
      <c r="AA276" s="98"/>
      <c r="AB276" s="98"/>
      <c r="AC276" s="98"/>
    </row>
    <row r="277" spans="1:36" ht="24.95" customHeight="1" x14ac:dyDescent="0.25">
      <c r="A277" s="89" t="s">
        <v>103</v>
      </c>
      <c r="B277" s="90"/>
      <c r="C277" s="90"/>
      <c r="D277" s="90"/>
      <c r="E277" s="90"/>
      <c r="F277" s="90"/>
      <c r="G277" s="90"/>
      <c r="H277" s="90"/>
      <c r="I277" s="90"/>
      <c r="J277" s="90"/>
      <c r="K277" s="90"/>
      <c r="L277" s="90"/>
      <c r="M277" s="90"/>
      <c r="N277" s="90"/>
      <c r="O277" s="90"/>
      <c r="P277" s="90"/>
      <c r="Q277" s="90"/>
      <c r="R277" s="90"/>
      <c r="S277" s="90"/>
      <c r="T277" s="90"/>
      <c r="U277" s="90"/>
      <c r="V277" s="90"/>
      <c r="W277" s="90"/>
      <c r="X277" s="90"/>
      <c r="Y277" s="90"/>
      <c r="Z277" s="90"/>
      <c r="AA277" s="90"/>
      <c r="AB277" s="90"/>
      <c r="AC277" s="90"/>
      <c r="AD277" s="90"/>
      <c r="AE277" s="90"/>
      <c r="AF277" s="90"/>
      <c r="AG277" s="90"/>
      <c r="AH277" s="90"/>
      <c r="AI277" s="90"/>
      <c r="AJ277" s="90"/>
    </row>
    <row r="278" spans="1:36" ht="120" customHeight="1" x14ac:dyDescent="0.2">
      <c r="A278" s="91" t="s">
        <v>134</v>
      </c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</row>
    <row r="279" spans="1:36" ht="14.1" customHeight="1" x14ac:dyDescent="0.2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</row>
    <row r="280" spans="1:36" ht="14.1" customHeight="1" x14ac:dyDescent="0.2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</row>
    <row r="281" spans="1:36" ht="14.1" customHeight="1" thickBot="1" x14ac:dyDescent="0.2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</row>
    <row r="282" spans="1:36" ht="99" customHeight="1" x14ac:dyDescent="0.2">
      <c r="A282" s="73" t="s">
        <v>1</v>
      </c>
      <c r="B282" s="93" t="s">
        <v>39</v>
      </c>
      <c r="C282" s="94"/>
      <c r="D282" s="94"/>
      <c r="E282" s="94"/>
      <c r="F282" s="94"/>
      <c r="G282" s="94"/>
      <c r="H282" s="95"/>
      <c r="I282" s="93" t="s">
        <v>93</v>
      </c>
      <c r="J282" s="94"/>
      <c r="K282" s="95"/>
      <c r="L282" s="93" t="s">
        <v>94</v>
      </c>
      <c r="M282" s="94"/>
      <c r="N282" s="95"/>
      <c r="O282" s="93" t="s">
        <v>95</v>
      </c>
      <c r="P282" s="94"/>
      <c r="Q282" s="95"/>
      <c r="R282" s="66"/>
      <c r="S282" s="67"/>
      <c r="T282" s="65"/>
      <c r="U282" s="65"/>
      <c r="V282" s="65"/>
      <c r="W282" s="65"/>
      <c r="X282" s="65"/>
      <c r="Y282" s="65"/>
      <c r="Z282" s="65"/>
      <c r="AA282" s="65"/>
      <c r="AB282" s="65"/>
      <c r="AC282" s="65"/>
      <c r="AD282" s="65"/>
      <c r="AE282" s="65"/>
      <c r="AF282" s="68"/>
      <c r="AG282" s="68"/>
      <c r="AH282" s="68"/>
      <c r="AI282" s="68"/>
      <c r="AJ282" s="68"/>
    </row>
    <row r="283" spans="1:36" ht="14.1" customHeight="1" x14ac:dyDescent="0.2">
      <c r="A283" s="69" t="s">
        <v>2</v>
      </c>
      <c r="B283" s="69">
        <v>1</v>
      </c>
      <c r="C283" s="69">
        <v>2</v>
      </c>
      <c r="D283" s="69">
        <v>3</v>
      </c>
      <c r="E283" s="69">
        <v>4</v>
      </c>
      <c r="F283" s="69">
        <v>5</v>
      </c>
      <c r="G283" s="69">
        <v>6</v>
      </c>
      <c r="H283" s="69">
        <v>7</v>
      </c>
      <c r="I283" s="69">
        <v>8</v>
      </c>
      <c r="J283" s="69">
        <v>9</v>
      </c>
      <c r="K283" s="69">
        <v>10</v>
      </c>
      <c r="L283" s="69">
        <v>11</v>
      </c>
      <c r="M283" s="69">
        <v>12</v>
      </c>
      <c r="N283" s="69">
        <v>13</v>
      </c>
      <c r="O283" s="69">
        <v>14</v>
      </c>
      <c r="P283" s="69">
        <v>15</v>
      </c>
      <c r="Q283" s="69">
        <v>16</v>
      </c>
      <c r="R283" s="69" t="s">
        <v>4</v>
      </c>
      <c r="S283" s="72" t="s">
        <v>17</v>
      </c>
      <c r="T283" s="64"/>
      <c r="U283" s="64"/>
      <c r="V283" s="64"/>
      <c r="W283" s="64"/>
      <c r="X283" s="64"/>
      <c r="Y283" s="64"/>
      <c r="Z283" s="64"/>
      <c r="AA283" s="64"/>
      <c r="AB283" s="64"/>
      <c r="AC283" s="64"/>
      <c r="AD283" s="64"/>
      <c r="AE283" s="64"/>
    </row>
    <row r="284" spans="1:36" ht="14.1" customHeight="1" x14ac:dyDescent="0.2">
      <c r="A284" s="69" t="s">
        <v>3</v>
      </c>
      <c r="B284" s="69">
        <v>1</v>
      </c>
      <c r="C284" s="69">
        <v>1</v>
      </c>
      <c r="D284" s="69">
        <v>1</v>
      </c>
      <c r="E284" s="69">
        <v>1</v>
      </c>
      <c r="F284" s="69">
        <v>1</v>
      </c>
      <c r="G284" s="69">
        <v>1</v>
      </c>
      <c r="H284" s="69">
        <v>3</v>
      </c>
      <c r="I284" s="69">
        <v>1</v>
      </c>
      <c r="J284" s="69">
        <v>1</v>
      </c>
      <c r="K284" s="69">
        <v>1</v>
      </c>
      <c r="L284" s="69">
        <v>1</v>
      </c>
      <c r="M284" s="69">
        <v>1</v>
      </c>
      <c r="N284" s="69">
        <v>1</v>
      </c>
      <c r="O284" s="69">
        <v>1</v>
      </c>
      <c r="P284" s="69">
        <v>1</v>
      </c>
      <c r="Q284" s="69">
        <v>1</v>
      </c>
      <c r="R284" s="69">
        <v>18</v>
      </c>
      <c r="S284" s="72"/>
      <c r="T284" s="64"/>
      <c r="U284" s="64"/>
      <c r="V284" s="64"/>
      <c r="W284" s="64"/>
      <c r="X284" s="64"/>
      <c r="Y284" s="64"/>
      <c r="Z284" s="64"/>
      <c r="AA284" s="64"/>
      <c r="AB284" s="64"/>
      <c r="AC284" s="64"/>
      <c r="AD284" s="64"/>
      <c r="AE284" s="64"/>
    </row>
    <row r="285" spans="1:36" ht="14.1" customHeight="1" thickBot="1" x14ac:dyDescent="0.25">
      <c r="A285" s="70" t="s">
        <v>92</v>
      </c>
      <c r="B285" s="70">
        <v>1</v>
      </c>
      <c r="C285" s="70">
        <v>1</v>
      </c>
      <c r="D285" s="70">
        <v>1</v>
      </c>
      <c r="E285" s="70">
        <v>1</v>
      </c>
      <c r="F285" s="70">
        <v>1</v>
      </c>
      <c r="G285" s="70">
        <v>1</v>
      </c>
      <c r="H285" s="70">
        <v>3</v>
      </c>
      <c r="I285" s="70">
        <v>1</v>
      </c>
      <c r="J285" s="70">
        <v>1</v>
      </c>
      <c r="K285" s="70">
        <v>1</v>
      </c>
      <c r="L285" s="70">
        <v>1</v>
      </c>
      <c r="M285" s="70">
        <v>1</v>
      </c>
      <c r="N285" s="70">
        <v>1</v>
      </c>
      <c r="O285" s="70">
        <v>1</v>
      </c>
      <c r="P285" s="70">
        <v>1</v>
      </c>
      <c r="Q285" s="70">
        <v>1</v>
      </c>
      <c r="R285" s="70">
        <v>18</v>
      </c>
      <c r="S285" s="71">
        <v>1</v>
      </c>
      <c r="T285" s="64"/>
      <c r="U285" s="64"/>
      <c r="V285" s="64"/>
      <c r="W285" s="64"/>
      <c r="X285" s="64"/>
      <c r="Y285" s="64"/>
      <c r="Z285" s="64"/>
      <c r="AA285" s="64"/>
      <c r="AB285" s="64"/>
      <c r="AC285" s="64"/>
      <c r="AD285" s="64"/>
      <c r="AE285" s="64"/>
    </row>
    <row r="286" spans="1:36" ht="14.1" customHeight="1" x14ac:dyDescent="0.2"/>
    <row r="287" spans="1:36" ht="23.25" customHeight="1" x14ac:dyDescent="0.25">
      <c r="A287" s="74" t="s">
        <v>123</v>
      </c>
    </row>
    <row r="288" spans="1:36" ht="14.1" customHeight="1" x14ac:dyDescent="0.2"/>
    <row r="289" spans="1:36" ht="14.1" customHeight="1" x14ac:dyDescent="0.2">
      <c r="A289" s="91" t="s">
        <v>99</v>
      </c>
      <c r="B289" s="96"/>
      <c r="C289" s="96"/>
      <c r="D289" s="96"/>
      <c r="E289" s="96"/>
      <c r="F289" s="96"/>
      <c r="G289" s="96"/>
      <c r="H289" s="96"/>
      <c r="I289" s="96"/>
      <c r="J289" s="96"/>
      <c r="K289" s="96"/>
      <c r="L289" s="96"/>
      <c r="M289" s="96"/>
      <c r="N289" s="96"/>
      <c r="O289" s="96"/>
      <c r="P289" s="96"/>
      <c r="Q289" s="96"/>
      <c r="R289" s="96"/>
      <c r="S289" s="96"/>
      <c r="T289" s="96"/>
      <c r="U289" s="96"/>
      <c r="V289" s="96"/>
      <c r="W289" s="96"/>
      <c r="X289" s="96"/>
      <c r="Y289" s="96"/>
      <c r="Z289" s="96"/>
      <c r="AA289" s="96"/>
      <c r="AB289" s="96"/>
      <c r="AC289" s="96"/>
    </row>
    <row r="290" spans="1:36" ht="14.1" customHeight="1" x14ac:dyDescent="0.2">
      <c r="A290" s="96"/>
      <c r="B290" s="96"/>
      <c r="C290" s="96"/>
      <c r="D290" s="96"/>
      <c r="E290" s="96"/>
      <c r="F290" s="96"/>
      <c r="G290" s="96"/>
      <c r="H290" s="96"/>
      <c r="I290" s="96"/>
      <c r="J290" s="96"/>
      <c r="K290" s="96"/>
      <c r="L290" s="96"/>
      <c r="M290" s="96"/>
      <c r="N290" s="96"/>
      <c r="O290" s="96"/>
      <c r="P290" s="96"/>
      <c r="Q290" s="96"/>
      <c r="R290" s="96"/>
      <c r="S290" s="96"/>
      <c r="T290" s="96"/>
      <c r="U290" s="96"/>
      <c r="V290" s="96"/>
      <c r="W290" s="96"/>
      <c r="X290" s="96"/>
      <c r="Y290" s="96"/>
      <c r="Z290" s="96"/>
      <c r="AA290" s="96"/>
      <c r="AB290" s="96"/>
      <c r="AC290" s="96"/>
    </row>
    <row r="291" spans="1:36" ht="14.1" customHeight="1" x14ac:dyDescent="0.2">
      <c r="A291" s="96"/>
      <c r="B291" s="96"/>
      <c r="C291" s="96"/>
      <c r="D291" s="96"/>
      <c r="E291" s="96"/>
      <c r="F291" s="96"/>
      <c r="G291" s="96"/>
      <c r="H291" s="96"/>
      <c r="I291" s="96"/>
      <c r="J291" s="96"/>
      <c r="K291" s="96"/>
      <c r="L291" s="96"/>
      <c r="M291" s="96"/>
      <c r="N291" s="96"/>
      <c r="O291" s="96"/>
      <c r="P291" s="96"/>
      <c r="Q291" s="96"/>
      <c r="R291" s="96"/>
      <c r="S291" s="96"/>
      <c r="T291" s="96"/>
      <c r="U291" s="96"/>
      <c r="V291" s="96"/>
      <c r="W291" s="96"/>
      <c r="X291" s="96"/>
      <c r="Y291" s="96"/>
      <c r="Z291" s="96"/>
      <c r="AA291" s="96"/>
      <c r="AB291" s="96"/>
      <c r="AC291" s="96"/>
    </row>
    <row r="292" spans="1:36" ht="14.1" customHeight="1" x14ac:dyDescent="0.2">
      <c r="A292" s="96"/>
      <c r="B292" s="96"/>
      <c r="C292" s="96"/>
      <c r="D292" s="96"/>
      <c r="E292" s="96"/>
      <c r="F292" s="96"/>
      <c r="G292" s="96"/>
      <c r="H292" s="96"/>
      <c r="I292" s="96"/>
      <c r="J292" s="96"/>
      <c r="K292" s="96"/>
      <c r="L292" s="96"/>
      <c r="M292" s="96"/>
      <c r="N292" s="96"/>
      <c r="O292" s="96"/>
      <c r="P292" s="96"/>
      <c r="Q292" s="96"/>
      <c r="R292" s="96"/>
      <c r="S292" s="96"/>
      <c r="T292" s="96"/>
      <c r="U292" s="96"/>
      <c r="V292" s="96"/>
      <c r="W292" s="96"/>
      <c r="X292" s="96"/>
      <c r="Y292" s="96"/>
      <c r="Z292" s="96"/>
      <c r="AA292" s="96"/>
      <c r="AB292" s="96"/>
      <c r="AC292" s="96"/>
    </row>
    <row r="293" spans="1:36" ht="14.1" customHeight="1" x14ac:dyDescent="0.2"/>
    <row r="294" spans="1:36" ht="14.1" customHeight="1" x14ac:dyDescent="0.2">
      <c r="A294" s="97" t="s">
        <v>100</v>
      </c>
      <c r="B294" s="98"/>
      <c r="C294" s="98"/>
      <c r="D294" s="98"/>
      <c r="E294" s="98"/>
      <c r="F294" s="98"/>
      <c r="G294" s="98"/>
      <c r="H294" s="98"/>
      <c r="I294" s="98"/>
      <c r="J294" s="98"/>
      <c r="K294" s="98"/>
      <c r="L294" s="98"/>
      <c r="M294" s="98"/>
      <c r="N294" s="98"/>
      <c r="O294" s="98"/>
      <c r="P294" s="98"/>
      <c r="Q294" s="98"/>
      <c r="R294" s="98"/>
      <c r="S294" s="98"/>
      <c r="T294" s="98"/>
      <c r="U294" s="98"/>
      <c r="V294" s="98"/>
      <c r="W294" s="98"/>
      <c r="X294" s="98"/>
      <c r="Y294" s="98"/>
      <c r="Z294" s="98"/>
      <c r="AA294" s="98"/>
      <c r="AB294" s="98"/>
      <c r="AC294" s="98"/>
    </row>
    <row r="295" spans="1:36" ht="14.1" customHeight="1" x14ac:dyDescent="0.2">
      <c r="A295" s="98"/>
      <c r="B295" s="98"/>
      <c r="C295" s="98"/>
      <c r="D295" s="98"/>
      <c r="E295" s="98"/>
      <c r="F295" s="98"/>
      <c r="G295" s="98"/>
      <c r="H295" s="98"/>
      <c r="I295" s="98"/>
      <c r="J295" s="98"/>
      <c r="K295" s="98"/>
      <c r="L295" s="98"/>
      <c r="M295" s="98"/>
      <c r="N295" s="98"/>
      <c r="O295" s="98"/>
      <c r="P295" s="98"/>
      <c r="Q295" s="98"/>
      <c r="R295" s="98"/>
      <c r="S295" s="98"/>
      <c r="T295" s="98"/>
      <c r="U295" s="98"/>
      <c r="V295" s="98"/>
      <c r="W295" s="98"/>
      <c r="X295" s="98"/>
      <c r="Y295" s="98"/>
      <c r="Z295" s="98"/>
      <c r="AA295" s="98"/>
      <c r="AB295" s="98"/>
      <c r="AC295" s="98"/>
    </row>
    <row r="296" spans="1:36" ht="14.1" customHeight="1" x14ac:dyDescent="0.2">
      <c r="A296" s="98"/>
      <c r="B296" s="98"/>
      <c r="C296" s="98"/>
      <c r="D296" s="98"/>
      <c r="E296" s="98"/>
      <c r="F296" s="98"/>
      <c r="G296" s="98"/>
      <c r="H296" s="98"/>
      <c r="I296" s="98"/>
      <c r="J296" s="98"/>
      <c r="K296" s="98"/>
      <c r="L296" s="98"/>
      <c r="M296" s="98"/>
      <c r="N296" s="98"/>
      <c r="O296" s="98"/>
      <c r="P296" s="98"/>
      <c r="Q296" s="98"/>
      <c r="R296" s="98"/>
      <c r="S296" s="98"/>
      <c r="T296" s="98"/>
      <c r="U296" s="98"/>
      <c r="V296" s="98"/>
      <c r="W296" s="98"/>
      <c r="X296" s="98"/>
      <c r="Y296" s="98"/>
      <c r="Z296" s="98"/>
      <c r="AA296" s="98"/>
      <c r="AB296" s="98"/>
      <c r="AC296" s="98"/>
    </row>
    <row r="297" spans="1:36" ht="14.1" customHeight="1" x14ac:dyDescent="0.2">
      <c r="A297" s="98"/>
      <c r="B297" s="98"/>
      <c r="C297" s="98"/>
      <c r="D297" s="98"/>
      <c r="E297" s="98"/>
      <c r="F297" s="98"/>
      <c r="G297" s="98"/>
      <c r="H297" s="98"/>
      <c r="I297" s="98"/>
      <c r="J297" s="98"/>
      <c r="K297" s="98"/>
      <c r="L297" s="98"/>
      <c r="M297" s="98"/>
      <c r="N297" s="98"/>
      <c r="O297" s="98"/>
      <c r="P297" s="98"/>
      <c r="Q297" s="98"/>
      <c r="R297" s="98"/>
      <c r="S297" s="98"/>
      <c r="T297" s="98"/>
      <c r="U297" s="98"/>
      <c r="V297" s="98"/>
      <c r="W297" s="98"/>
      <c r="X297" s="98"/>
      <c r="Y297" s="98"/>
      <c r="Z297" s="98"/>
      <c r="AA297" s="98"/>
      <c r="AB297" s="98"/>
      <c r="AC297" s="98"/>
    </row>
    <row r="298" spans="1:36" ht="14.1" customHeight="1" x14ac:dyDescent="0.2">
      <c r="A298" s="98"/>
      <c r="B298" s="98"/>
      <c r="C298" s="98"/>
      <c r="D298" s="98"/>
      <c r="E298" s="98"/>
      <c r="F298" s="98"/>
      <c r="G298" s="98"/>
      <c r="H298" s="98"/>
      <c r="I298" s="98"/>
      <c r="J298" s="98"/>
      <c r="K298" s="98"/>
      <c r="L298" s="98"/>
      <c r="M298" s="98"/>
      <c r="N298" s="98"/>
      <c r="O298" s="98"/>
      <c r="P298" s="98"/>
      <c r="Q298" s="98"/>
      <c r="R298" s="98"/>
      <c r="S298" s="98"/>
      <c r="T298" s="98"/>
      <c r="U298" s="98"/>
      <c r="V298" s="98"/>
      <c r="W298" s="98"/>
      <c r="X298" s="98"/>
      <c r="Y298" s="98"/>
      <c r="Z298" s="98"/>
      <c r="AA298" s="98"/>
      <c r="AB298" s="98"/>
      <c r="AC298" s="98"/>
    </row>
    <row r="299" spans="1:36" ht="14.1" customHeight="1" x14ac:dyDescent="0.2">
      <c r="A299" s="98"/>
      <c r="B299" s="98"/>
      <c r="C299" s="98"/>
      <c r="D299" s="98"/>
      <c r="E299" s="98"/>
      <c r="F299" s="98"/>
      <c r="G299" s="98"/>
      <c r="H299" s="98"/>
      <c r="I299" s="98"/>
      <c r="J299" s="98"/>
      <c r="K299" s="98"/>
      <c r="L299" s="98"/>
      <c r="M299" s="98"/>
      <c r="N299" s="98"/>
      <c r="O299" s="98"/>
      <c r="P299" s="98"/>
      <c r="Q299" s="98"/>
      <c r="R299" s="98"/>
      <c r="S299" s="98"/>
      <c r="T299" s="98"/>
      <c r="U299" s="98"/>
      <c r="V299" s="98"/>
      <c r="W299" s="98"/>
      <c r="X299" s="98"/>
      <c r="Y299" s="98"/>
      <c r="Z299" s="98"/>
      <c r="AA299" s="98"/>
      <c r="AB299" s="98"/>
      <c r="AC299" s="98"/>
    </row>
    <row r="300" spans="1:36" ht="14.1" customHeight="1" x14ac:dyDescent="0.2">
      <c r="A300" s="98"/>
      <c r="B300" s="98"/>
      <c r="C300" s="98"/>
      <c r="D300" s="98"/>
      <c r="E300" s="98"/>
      <c r="F300" s="98"/>
      <c r="G300" s="98"/>
      <c r="H300" s="98"/>
      <c r="I300" s="98"/>
      <c r="J300" s="98"/>
      <c r="K300" s="98"/>
      <c r="L300" s="98"/>
      <c r="M300" s="98"/>
      <c r="N300" s="98"/>
      <c r="O300" s="98"/>
      <c r="P300" s="98"/>
      <c r="Q300" s="98"/>
      <c r="R300" s="98"/>
      <c r="S300" s="98"/>
      <c r="T300" s="98"/>
      <c r="U300" s="98"/>
      <c r="V300" s="98"/>
      <c r="W300" s="98"/>
      <c r="X300" s="98"/>
      <c r="Y300" s="98"/>
      <c r="Z300" s="98"/>
      <c r="AA300" s="98"/>
      <c r="AB300" s="98"/>
      <c r="AC300" s="98"/>
    </row>
    <row r="301" spans="1:36" ht="14.1" customHeight="1" x14ac:dyDescent="0.2">
      <c r="A301" s="98"/>
      <c r="B301" s="98"/>
      <c r="C301" s="98"/>
      <c r="D301" s="98"/>
      <c r="E301" s="98"/>
      <c r="F301" s="98"/>
      <c r="G301" s="98"/>
      <c r="H301" s="98"/>
      <c r="I301" s="98"/>
      <c r="J301" s="98"/>
      <c r="K301" s="98"/>
      <c r="L301" s="98"/>
      <c r="M301" s="98"/>
      <c r="N301" s="98"/>
      <c r="O301" s="98"/>
      <c r="P301" s="98"/>
      <c r="Q301" s="98"/>
      <c r="R301" s="98"/>
      <c r="S301" s="98"/>
      <c r="T301" s="98"/>
      <c r="U301" s="98"/>
      <c r="V301" s="98"/>
      <c r="W301" s="98"/>
      <c r="X301" s="98"/>
      <c r="Y301" s="98"/>
      <c r="Z301" s="98"/>
      <c r="AA301" s="98"/>
      <c r="AB301" s="98"/>
      <c r="AC301" s="98"/>
    </row>
    <row r="302" spans="1:36" ht="24.95" customHeight="1" x14ac:dyDescent="0.25">
      <c r="A302" s="89" t="s">
        <v>103</v>
      </c>
      <c r="B302" s="90"/>
      <c r="C302" s="90"/>
      <c r="D302" s="90"/>
      <c r="E302" s="90"/>
      <c r="F302" s="90"/>
      <c r="G302" s="90"/>
      <c r="H302" s="90"/>
      <c r="I302" s="90"/>
      <c r="J302" s="90"/>
      <c r="K302" s="90"/>
      <c r="L302" s="90"/>
      <c r="M302" s="90"/>
      <c r="N302" s="90"/>
      <c r="O302" s="90"/>
      <c r="P302" s="90"/>
      <c r="Q302" s="90"/>
      <c r="R302" s="90"/>
      <c r="S302" s="90"/>
      <c r="T302" s="90"/>
      <c r="U302" s="90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</row>
    <row r="303" spans="1:36" ht="120" customHeight="1" x14ac:dyDescent="0.2">
      <c r="A303" s="91" t="s">
        <v>135</v>
      </c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</row>
    <row r="304" spans="1:36" ht="14.1" customHeight="1" x14ac:dyDescent="0.2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</row>
    <row r="305" spans="1:36" ht="14.1" customHeight="1" x14ac:dyDescent="0.2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</row>
    <row r="306" spans="1:36" ht="14.1" customHeight="1" thickBot="1" x14ac:dyDescent="0.2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</row>
    <row r="307" spans="1:36" ht="99" customHeight="1" x14ac:dyDescent="0.2">
      <c r="A307" s="73" t="s">
        <v>1</v>
      </c>
      <c r="B307" s="93" t="s">
        <v>39</v>
      </c>
      <c r="C307" s="94"/>
      <c r="D307" s="94"/>
      <c r="E307" s="94"/>
      <c r="F307" s="94"/>
      <c r="G307" s="94"/>
      <c r="H307" s="95"/>
      <c r="I307" s="93" t="s">
        <v>93</v>
      </c>
      <c r="J307" s="94"/>
      <c r="K307" s="95"/>
      <c r="L307" s="93" t="s">
        <v>94</v>
      </c>
      <c r="M307" s="94"/>
      <c r="N307" s="95"/>
      <c r="O307" s="93" t="s">
        <v>95</v>
      </c>
      <c r="P307" s="94"/>
      <c r="Q307" s="95"/>
      <c r="R307" s="66"/>
      <c r="S307" s="67"/>
      <c r="T307" s="65"/>
      <c r="U307" s="65"/>
      <c r="V307" s="65"/>
      <c r="W307" s="65"/>
      <c r="X307" s="65"/>
      <c r="Y307" s="65"/>
      <c r="Z307" s="65"/>
      <c r="AA307" s="65"/>
      <c r="AB307" s="65"/>
      <c r="AC307" s="65"/>
      <c r="AD307" s="65"/>
      <c r="AE307" s="65"/>
      <c r="AF307" s="68"/>
      <c r="AG307" s="68"/>
      <c r="AH307" s="68"/>
      <c r="AI307" s="68"/>
      <c r="AJ307" s="68"/>
    </row>
    <row r="308" spans="1:36" ht="14.1" customHeight="1" x14ac:dyDescent="0.2">
      <c r="A308" s="69" t="s">
        <v>2</v>
      </c>
      <c r="B308" s="69">
        <v>1</v>
      </c>
      <c r="C308" s="69">
        <v>2</v>
      </c>
      <c r="D308" s="69">
        <v>3</v>
      </c>
      <c r="E308" s="69">
        <v>4</v>
      </c>
      <c r="F308" s="69">
        <v>5</v>
      </c>
      <c r="G308" s="69">
        <v>6</v>
      </c>
      <c r="H308" s="69">
        <v>7</v>
      </c>
      <c r="I308" s="69">
        <v>8</v>
      </c>
      <c r="J308" s="69">
        <v>9</v>
      </c>
      <c r="K308" s="69">
        <v>10</v>
      </c>
      <c r="L308" s="69">
        <v>11</v>
      </c>
      <c r="M308" s="69">
        <v>12</v>
      </c>
      <c r="N308" s="69">
        <v>13</v>
      </c>
      <c r="O308" s="69">
        <v>14</v>
      </c>
      <c r="P308" s="69">
        <v>15</v>
      </c>
      <c r="Q308" s="69">
        <v>16</v>
      </c>
      <c r="R308" s="69" t="s">
        <v>4</v>
      </c>
      <c r="S308" s="72" t="s">
        <v>17</v>
      </c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</row>
    <row r="309" spans="1:36" ht="14.1" customHeight="1" x14ac:dyDescent="0.2">
      <c r="A309" s="69" t="s">
        <v>3</v>
      </c>
      <c r="B309" s="69">
        <v>1</v>
      </c>
      <c r="C309" s="69">
        <v>1</v>
      </c>
      <c r="D309" s="69">
        <v>1</v>
      </c>
      <c r="E309" s="69">
        <v>1</v>
      </c>
      <c r="F309" s="69">
        <v>1</v>
      </c>
      <c r="G309" s="69">
        <v>1</v>
      </c>
      <c r="H309" s="69">
        <v>3</v>
      </c>
      <c r="I309" s="69">
        <v>1</v>
      </c>
      <c r="J309" s="69">
        <v>1</v>
      </c>
      <c r="K309" s="69">
        <v>1</v>
      </c>
      <c r="L309" s="69">
        <v>1</v>
      </c>
      <c r="M309" s="69">
        <v>1</v>
      </c>
      <c r="N309" s="69">
        <v>1</v>
      </c>
      <c r="O309" s="69">
        <v>1</v>
      </c>
      <c r="P309" s="69">
        <v>1</v>
      </c>
      <c r="Q309" s="69">
        <v>1</v>
      </c>
      <c r="R309" s="69">
        <v>18</v>
      </c>
      <c r="S309" s="72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</row>
    <row r="310" spans="1:36" ht="14.1" customHeight="1" thickBot="1" x14ac:dyDescent="0.25">
      <c r="A310" s="70" t="s">
        <v>92</v>
      </c>
      <c r="B310" s="70">
        <v>1</v>
      </c>
      <c r="C310" s="70">
        <v>1</v>
      </c>
      <c r="D310" s="70">
        <v>1</v>
      </c>
      <c r="E310" s="70">
        <v>1</v>
      </c>
      <c r="F310" s="70">
        <v>1</v>
      </c>
      <c r="G310" s="70">
        <v>1</v>
      </c>
      <c r="H310" s="70">
        <v>3</v>
      </c>
      <c r="I310" s="70">
        <v>1</v>
      </c>
      <c r="J310" s="70">
        <v>1</v>
      </c>
      <c r="K310" s="70">
        <v>1</v>
      </c>
      <c r="L310" s="70">
        <v>1</v>
      </c>
      <c r="M310" s="70">
        <v>1</v>
      </c>
      <c r="N310" s="70">
        <v>1</v>
      </c>
      <c r="O310" s="70">
        <v>1</v>
      </c>
      <c r="P310" s="70">
        <v>1</v>
      </c>
      <c r="Q310" s="70">
        <v>1</v>
      </c>
      <c r="R310" s="70">
        <v>18</v>
      </c>
      <c r="S310" s="71">
        <v>1</v>
      </c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</row>
    <row r="311" spans="1:36" ht="14.1" customHeight="1" x14ac:dyDescent="0.2"/>
    <row r="312" spans="1:36" ht="23.25" customHeight="1" x14ac:dyDescent="0.25">
      <c r="A312" s="74" t="s">
        <v>123</v>
      </c>
    </row>
    <row r="313" spans="1:36" ht="14.1" customHeight="1" x14ac:dyDescent="0.2"/>
    <row r="314" spans="1:36" ht="14.1" customHeight="1" x14ac:dyDescent="0.2">
      <c r="A314" s="91" t="s">
        <v>99</v>
      </c>
      <c r="B314" s="96"/>
      <c r="C314" s="96"/>
      <c r="D314" s="96"/>
      <c r="E314" s="96"/>
      <c r="F314" s="96"/>
      <c r="G314" s="96"/>
      <c r="H314" s="96"/>
      <c r="I314" s="96"/>
      <c r="J314" s="96"/>
      <c r="K314" s="96"/>
      <c r="L314" s="96"/>
      <c r="M314" s="96"/>
      <c r="N314" s="96"/>
      <c r="O314" s="96"/>
      <c r="P314" s="96"/>
      <c r="Q314" s="96"/>
      <c r="R314" s="96"/>
      <c r="S314" s="96"/>
      <c r="T314" s="96"/>
      <c r="U314" s="96"/>
      <c r="V314" s="96"/>
      <c r="W314" s="96"/>
      <c r="X314" s="96"/>
      <c r="Y314" s="96"/>
      <c r="Z314" s="96"/>
      <c r="AA314" s="96"/>
      <c r="AB314" s="96"/>
      <c r="AC314" s="96"/>
    </row>
    <row r="315" spans="1:36" ht="14.1" customHeight="1" x14ac:dyDescent="0.2">
      <c r="A315" s="96"/>
      <c r="B315" s="96"/>
      <c r="C315" s="96"/>
      <c r="D315" s="96"/>
      <c r="E315" s="96"/>
      <c r="F315" s="96"/>
      <c r="G315" s="96"/>
      <c r="H315" s="96"/>
      <c r="I315" s="96"/>
      <c r="J315" s="96"/>
      <c r="K315" s="96"/>
      <c r="L315" s="96"/>
      <c r="M315" s="96"/>
      <c r="N315" s="96"/>
      <c r="O315" s="96"/>
      <c r="P315" s="96"/>
      <c r="Q315" s="96"/>
      <c r="R315" s="96"/>
      <c r="S315" s="96"/>
      <c r="T315" s="96"/>
      <c r="U315" s="96"/>
      <c r="V315" s="96"/>
      <c r="W315" s="96"/>
      <c r="X315" s="96"/>
      <c r="Y315" s="96"/>
      <c r="Z315" s="96"/>
      <c r="AA315" s="96"/>
      <c r="AB315" s="96"/>
      <c r="AC315" s="96"/>
    </row>
    <row r="316" spans="1:36" ht="14.1" customHeight="1" x14ac:dyDescent="0.2">
      <c r="A316" s="96"/>
      <c r="B316" s="96"/>
      <c r="C316" s="96"/>
      <c r="D316" s="96"/>
      <c r="E316" s="96"/>
      <c r="F316" s="96"/>
      <c r="G316" s="96"/>
      <c r="H316" s="96"/>
      <c r="I316" s="96"/>
      <c r="J316" s="96"/>
      <c r="K316" s="96"/>
      <c r="L316" s="96"/>
      <c r="M316" s="96"/>
      <c r="N316" s="96"/>
      <c r="O316" s="96"/>
      <c r="P316" s="96"/>
      <c r="Q316" s="96"/>
      <c r="R316" s="96"/>
      <c r="S316" s="96"/>
      <c r="T316" s="96"/>
      <c r="U316" s="96"/>
      <c r="V316" s="96"/>
      <c r="W316" s="96"/>
      <c r="X316" s="96"/>
      <c r="Y316" s="96"/>
      <c r="Z316" s="96"/>
      <c r="AA316" s="96"/>
      <c r="AB316" s="96"/>
      <c r="AC316" s="96"/>
    </row>
    <row r="317" spans="1:36" ht="14.1" customHeight="1" x14ac:dyDescent="0.2">
      <c r="A317" s="96"/>
      <c r="B317" s="96"/>
      <c r="C317" s="96"/>
      <c r="D317" s="96"/>
      <c r="E317" s="96"/>
      <c r="F317" s="96"/>
      <c r="G317" s="96"/>
      <c r="H317" s="96"/>
      <c r="I317" s="96"/>
      <c r="J317" s="96"/>
      <c r="K317" s="96"/>
      <c r="L317" s="96"/>
      <c r="M317" s="96"/>
      <c r="N317" s="96"/>
      <c r="O317" s="96"/>
      <c r="P317" s="96"/>
      <c r="Q317" s="96"/>
      <c r="R317" s="96"/>
      <c r="S317" s="96"/>
      <c r="T317" s="96"/>
      <c r="U317" s="96"/>
      <c r="V317" s="96"/>
      <c r="W317" s="96"/>
      <c r="X317" s="96"/>
      <c r="Y317" s="96"/>
      <c r="Z317" s="96"/>
      <c r="AA317" s="96"/>
      <c r="AB317" s="96"/>
      <c r="AC317" s="96"/>
    </row>
    <row r="318" spans="1:36" ht="14.1" customHeight="1" x14ac:dyDescent="0.2"/>
    <row r="319" spans="1:36" ht="14.1" customHeight="1" x14ac:dyDescent="0.2">
      <c r="A319" s="97" t="s">
        <v>100</v>
      </c>
      <c r="B319" s="98"/>
      <c r="C319" s="98"/>
      <c r="D319" s="98"/>
      <c r="E319" s="98"/>
      <c r="F319" s="98"/>
      <c r="G319" s="98"/>
      <c r="H319" s="98"/>
      <c r="I319" s="98"/>
      <c r="J319" s="98"/>
      <c r="K319" s="98"/>
      <c r="L319" s="98"/>
      <c r="M319" s="98"/>
      <c r="N319" s="98"/>
      <c r="O319" s="98"/>
      <c r="P319" s="98"/>
      <c r="Q319" s="98"/>
      <c r="R319" s="98"/>
      <c r="S319" s="98"/>
      <c r="T319" s="98"/>
      <c r="U319" s="98"/>
      <c r="V319" s="98"/>
      <c r="W319" s="98"/>
      <c r="X319" s="98"/>
      <c r="Y319" s="98"/>
      <c r="Z319" s="98"/>
      <c r="AA319" s="98"/>
      <c r="AB319" s="98"/>
      <c r="AC319" s="98"/>
    </row>
    <row r="320" spans="1:36" ht="14.1" customHeight="1" x14ac:dyDescent="0.2">
      <c r="A320" s="98"/>
      <c r="B320" s="98"/>
      <c r="C320" s="98"/>
      <c r="D320" s="98"/>
      <c r="E320" s="98"/>
      <c r="F320" s="98"/>
      <c r="G320" s="98"/>
      <c r="H320" s="98"/>
      <c r="I320" s="98"/>
      <c r="J320" s="98"/>
      <c r="K320" s="98"/>
      <c r="L320" s="98"/>
      <c r="M320" s="98"/>
      <c r="N320" s="98"/>
      <c r="O320" s="98"/>
      <c r="P320" s="98"/>
      <c r="Q320" s="98"/>
      <c r="R320" s="98"/>
      <c r="S320" s="98"/>
      <c r="T320" s="98"/>
      <c r="U320" s="98"/>
      <c r="V320" s="98"/>
      <c r="W320" s="98"/>
      <c r="X320" s="98"/>
      <c r="Y320" s="98"/>
      <c r="Z320" s="98"/>
      <c r="AA320" s="98"/>
      <c r="AB320" s="98"/>
      <c r="AC320" s="98"/>
    </row>
    <row r="321" spans="1:36" ht="14.1" customHeight="1" x14ac:dyDescent="0.2">
      <c r="A321" s="98"/>
      <c r="B321" s="98"/>
      <c r="C321" s="98"/>
      <c r="D321" s="98"/>
      <c r="E321" s="98"/>
      <c r="F321" s="98"/>
      <c r="G321" s="98"/>
      <c r="H321" s="98"/>
      <c r="I321" s="98"/>
      <c r="J321" s="98"/>
      <c r="K321" s="98"/>
      <c r="L321" s="98"/>
      <c r="M321" s="98"/>
      <c r="N321" s="98"/>
      <c r="O321" s="98"/>
      <c r="P321" s="98"/>
      <c r="Q321" s="98"/>
      <c r="R321" s="98"/>
      <c r="S321" s="98"/>
      <c r="T321" s="98"/>
      <c r="U321" s="98"/>
      <c r="V321" s="98"/>
      <c r="W321" s="98"/>
      <c r="X321" s="98"/>
      <c r="Y321" s="98"/>
      <c r="Z321" s="98"/>
      <c r="AA321" s="98"/>
      <c r="AB321" s="98"/>
      <c r="AC321" s="98"/>
    </row>
    <row r="322" spans="1:36" ht="14.1" customHeight="1" x14ac:dyDescent="0.2">
      <c r="A322" s="98"/>
      <c r="B322" s="98"/>
      <c r="C322" s="98"/>
      <c r="D322" s="98"/>
      <c r="E322" s="98"/>
      <c r="F322" s="98"/>
      <c r="G322" s="98"/>
      <c r="H322" s="98"/>
      <c r="I322" s="98"/>
      <c r="J322" s="98"/>
      <c r="K322" s="98"/>
      <c r="L322" s="98"/>
      <c r="M322" s="98"/>
      <c r="N322" s="98"/>
      <c r="O322" s="98"/>
      <c r="P322" s="98"/>
      <c r="Q322" s="98"/>
      <c r="R322" s="98"/>
      <c r="S322" s="98"/>
      <c r="T322" s="98"/>
      <c r="U322" s="98"/>
      <c r="V322" s="98"/>
      <c r="W322" s="98"/>
      <c r="X322" s="98"/>
      <c r="Y322" s="98"/>
      <c r="Z322" s="98"/>
      <c r="AA322" s="98"/>
      <c r="AB322" s="98"/>
      <c r="AC322" s="98"/>
    </row>
    <row r="323" spans="1:36" ht="14.1" customHeight="1" x14ac:dyDescent="0.2">
      <c r="A323" s="98"/>
      <c r="B323" s="98"/>
      <c r="C323" s="98"/>
      <c r="D323" s="98"/>
      <c r="E323" s="98"/>
      <c r="F323" s="98"/>
      <c r="G323" s="98"/>
      <c r="H323" s="98"/>
      <c r="I323" s="98"/>
      <c r="J323" s="98"/>
      <c r="K323" s="98"/>
      <c r="L323" s="98"/>
      <c r="M323" s="98"/>
      <c r="N323" s="98"/>
      <c r="O323" s="98"/>
      <c r="P323" s="98"/>
      <c r="Q323" s="98"/>
      <c r="R323" s="98"/>
      <c r="S323" s="98"/>
      <c r="T323" s="98"/>
      <c r="U323" s="98"/>
      <c r="V323" s="98"/>
      <c r="W323" s="98"/>
      <c r="X323" s="98"/>
      <c r="Y323" s="98"/>
      <c r="Z323" s="98"/>
      <c r="AA323" s="98"/>
      <c r="AB323" s="98"/>
      <c r="AC323" s="98"/>
    </row>
    <row r="324" spans="1:36" ht="14.1" customHeight="1" x14ac:dyDescent="0.2">
      <c r="A324" s="98"/>
      <c r="B324" s="98"/>
      <c r="C324" s="98"/>
      <c r="D324" s="98"/>
      <c r="E324" s="98"/>
      <c r="F324" s="98"/>
      <c r="G324" s="98"/>
      <c r="H324" s="98"/>
      <c r="I324" s="98"/>
      <c r="J324" s="98"/>
      <c r="K324" s="98"/>
      <c r="L324" s="98"/>
      <c r="M324" s="98"/>
      <c r="N324" s="98"/>
      <c r="O324" s="98"/>
      <c r="P324" s="98"/>
      <c r="Q324" s="98"/>
      <c r="R324" s="98"/>
      <c r="S324" s="98"/>
      <c r="T324" s="98"/>
      <c r="U324" s="98"/>
      <c r="V324" s="98"/>
      <c r="W324" s="98"/>
      <c r="X324" s="98"/>
      <c r="Y324" s="98"/>
      <c r="Z324" s="98"/>
      <c r="AA324" s="98"/>
      <c r="AB324" s="98"/>
      <c r="AC324" s="98"/>
    </row>
    <row r="325" spans="1:36" ht="14.1" customHeight="1" x14ac:dyDescent="0.2">
      <c r="A325" s="98"/>
      <c r="B325" s="98"/>
      <c r="C325" s="98"/>
      <c r="D325" s="98"/>
      <c r="E325" s="98"/>
      <c r="F325" s="98"/>
      <c r="G325" s="98"/>
      <c r="H325" s="98"/>
      <c r="I325" s="98"/>
      <c r="J325" s="98"/>
      <c r="K325" s="98"/>
      <c r="L325" s="98"/>
      <c r="M325" s="98"/>
      <c r="N325" s="98"/>
      <c r="O325" s="98"/>
      <c r="P325" s="98"/>
      <c r="Q325" s="98"/>
      <c r="R325" s="98"/>
      <c r="S325" s="98"/>
      <c r="T325" s="98"/>
      <c r="U325" s="98"/>
      <c r="V325" s="98"/>
      <c r="W325" s="98"/>
      <c r="X325" s="98"/>
      <c r="Y325" s="98"/>
      <c r="Z325" s="98"/>
      <c r="AA325" s="98"/>
      <c r="AB325" s="98"/>
      <c r="AC325" s="98"/>
    </row>
    <row r="326" spans="1:36" ht="14.1" customHeight="1" x14ac:dyDescent="0.2">
      <c r="A326" s="98"/>
      <c r="B326" s="98"/>
      <c r="C326" s="98"/>
      <c r="D326" s="98"/>
      <c r="E326" s="98"/>
      <c r="F326" s="98"/>
      <c r="G326" s="98"/>
      <c r="H326" s="98"/>
      <c r="I326" s="98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98"/>
      <c r="V326" s="98"/>
      <c r="W326" s="98"/>
      <c r="X326" s="98"/>
      <c r="Y326" s="98"/>
      <c r="Z326" s="98"/>
      <c r="AA326" s="98"/>
      <c r="AB326" s="98"/>
      <c r="AC326" s="98"/>
    </row>
    <row r="327" spans="1:36" ht="24.95" customHeight="1" x14ac:dyDescent="0.25">
      <c r="A327" s="89" t="s">
        <v>103</v>
      </c>
      <c r="B327" s="90"/>
      <c r="C327" s="90"/>
      <c r="D327" s="90"/>
      <c r="E327" s="90"/>
      <c r="F327" s="90"/>
      <c r="G327" s="90"/>
      <c r="H327" s="90"/>
      <c r="I327" s="90"/>
      <c r="J327" s="90"/>
      <c r="K327" s="90"/>
      <c r="L327" s="90"/>
      <c r="M327" s="90"/>
      <c r="N327" s="90"/>
      <c r="O327" s="90"/>
      <c r="P327" s="90"/>
      <c r="Q327" s="90"/>
      <c r="R327" s="90"/>
      <c r="S327" s="90"/>
      <c r="T327" s="90"/>
      <c r="U327" s="90"/>
      <c r="V327" s="90"/>
      <c r="W327" s="90"/>
      <c r="X327" s="90"/>
      <c r="Y327" s="90"/>
      <c r="Z327" s="90"/>
      <c r="AA327" s="90"/>
      <c r="AB327" s="90"/>
      <c r="AC327" s="90"/>
      <c r="AD327" s="90"/>
      <c r="AE327" s="90"/>
      <c r="AF327" s="90"/>
      <c r="AG327" s="90"/>
      <c r="AH327" s="90"/>
      <c r="AI327" s="90"/>
      <c r="AJ327" s="90"/>
    </row>
    <row r="328" spans="1:36" ht="120" customHeight="1" x14ac:dyDescent="0.2">
      <c r="A328" s="91" t="s">
        <v>136</v>
      </c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</row>
    <row r="329" spans="1:36" ht="14.1" customHeight="1" x14ac:dyDescent="0.2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</row>
    <row r="330" spans="1:36" ht="14.1" customHeight="1" x14ac:dyDescent="0.2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</row>
    <row r="331" spans="1:36" ht="14.1" customHeight="1" thickBot="1" x14ac:dyDescent="0.2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</row>
    <row r="332" spans="1:36" ht="99" customHeight="1" x14ac:dyDescent="0.2">
      <c r="A332" s="73" t="s">
        <v>1</v>
      </c>
      <c r="B332" s="93" t="s">
        <v>39</v>
      </c>
      <c r="C332" s="94"/>
      <c r="D332" s="94"/>
      <c r="E332" s="94"/>
      <c r="F332" s="94"/>
      <c r="G332" s="94"/>
      <c r="H332" s="95"/>
      <c r="I332" s="93" t="s">
        <v>93</v>
      </c>
      <c r="J332" s="94"/>
      <c r="K332" s="95"/>
      <c r="L332" s="93" t="s">
        <v>94</v>
      </c>
      <c r="M332" s="94"/>
      <c r="N332" s="95"/>
      <c r="O332" s="93" t="s">
        <v>95</v>
      </c>
      <c r="P332" s="94"/>
      <c r="Q332" s="95"/>
      <c r="R332" s="66"/>
      <c r="S332" s="67"/>
      <c r="T332" s="65"/>
      <c r="U332" s="65"/>
      <c r="V332" s="65"/>
      <c r="W332" s="65"/>
      <c r="X332" s="65"/>
      <c r="Y332" s="65"/>
      <c r="Z332" s="65"/>
      <c r="AA332" s="65"/>
      <c r="AB332" s="65"/>
      <c r="AC332" s="65"/>
      <c r="AD332" s="65"/>
      <c r="AE332" s="65"/>
      <c r="AF332" s="68"/>
      <c r="AG332" s="68"/>
      <c r="AH332" s="68"/>
      <c r="AI332" s="68"/>
      <c r="AJ332" s="68"/>
    </row>
    <row r="333" spans="1:36" ht="14.1" customHeight="1" x14ac:dyDescent="0.2">
      <c r="A333" s="69" t="s">
        <v>2</v>
      </c>
      <c r="B333" s="69">
        <v>1</v>
      </c>
      <c r="C333" s="69">
        <v>2</v>
      </c>
      <c r="D333" s="69">
        <v>3</v>
      </c>
      <c r="E333" s="69">
        <v>4</v>
      </c>
      <c r="F333" s="69">
        <v>5</v>
      </c>
      <c r="G333" s="69">
        <v>6</v>
      </c>
      <c r="H333" s="69">
        <v>7</v>
      </c>
      <c r="I333" s="69">
        <v>8</v>
      </c>
      <c r="J333" s="69">
        <v>9</v>
      </c>
      <c r="K333" s="69">
        <v>10</v>
      </c>
      <c r="L333" s="69">
        <v>11</v>
      </c>
      <c r="M333" s="69">
        <v>12</v>
      </c>
      <c r="N333" s="69">
        <v>13</v>
      </c>
      <c r="O333" s="69">
        <v>14</v>
      </c>
      <c r="P333" s="69">
        <v>15</v>
      </c>
      <c r="Q333" s="69">
        <v>16</v>
      </c>
      <c r="R333" s="69" t="s">
        <v>4</v>
      </c>
      <c r="S333" s="72" t="s">
        <v>17</v>
      </c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</row>
    <row r="334" spans="1:36" ht="14.1" customHeight="1" x14ac:dyDescent="0.2">
      <c r="A334" s="69" t="s">
        <v>3</v>
      </c>
      <c r="B334" s="69">
        <v>1</v>
      </c>
      <c r="C334" s="69">
        <v>1</v>
      </c>
      <c r="D334" s="69">
        <v>1</v>
      </c>
      <c r="E334" s="69">
        <v>1</v>
      </c>
      <c r="F334" s="69">
        <v>1</v>
      </c>
      <c r="G334" s="69">
        <v>1</v>
      </c>
      <c r="H334" s="69">
        <v>3</v>
      </c>
      <c r="I334" s="69">
        <v>1</v>
      </c>
      <c r="J334" s="69">
        <v>1</v>
      </c>
      <c r="K334" s="69">
        <v>1</v>
      </c>
      <c r="L334" s="69">
        <v>1</v>
      </c>
      <c r="M334" s="69">
        <v>1</v>
      </c>
      <c r="N334" s="69">
        <v>1</v>
      </c>
      <c r="O334" s="69">
        <v>1</v>
      </c>
      <c r="P334" s="69">
        <v>1</v>
      </c>
      <c r="Q334" s="69">
        <v>1</v>
      </c>
      <c r="R334" s="69">
        <v>18</v>
      </c>
      <c r="S334" s="72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</row>
    <row r="335" spans="1:36" ht="14.1" customHeight="1" thickBot="1" x14ac:dyDescent="0.25">
      <c r="A335" s="70" t="s">
        <v>92</v>
      </c>
      <c r="B335" s="70">
        <v>1</v>
      </c>
      <c r="C335" s="70">
        <v>1</v>
      </c>
      <c r="D335" s="70">
        <v>1</v>
      </c>
      <c r="E335" s="70">
        <v>1</v>
      </c>
      <c r="F335" s="70">
        <v>0</v>
      </c>
      <c r="G335" s="70">
        <v>1</v>
      </c>
      <c r="H335" s="70">
        <v>3</v>
      </c>
      <c r="I335" s="70">
        <v>1</v>
      </c>
      <c r="J335" s="70">
        <v>0</v>
      </c>
      <c r="K335" s="70">
        <v>1</v>
      </c>
      <c r="L335" s="70">
        <v>1</v>
      </c>
      <c r="M335" s="70">
        <v>1</v>
      </c>
      <c r="N335" s="70">
        <v>1</v>
      </c>
      <c r="O335" s="70">
        <v>0</v>
      </c>
      <c r="P335" s="70">
        <v>1</v>
      </c>
      <c r="Q335" s="70">
        <v>1</v>
      </c>
      <c r="R335" s="70">
        <v>15</v>
      </c>
      <c r="S335" s="71">
        <v>0.83333333333333337</v>
      </c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</row>
    <row r="336" spans="1:36" ht="14.1" customHeight="1" x14ac:dyDescent="0.2"/>
    <row r="337" spans="1:36" ht="23.25" customHeight="1" x14ac:dyDescent="0.25">
      <c r="A337" s="74" t="s">
        <v>123</v>
      </c>
    </row>
    <row r="338" spans="1:36" ht="14.1" customHeight="1" x14ac:dyDescent="0.2"/>
    <row r="339" spans="1:36" ht="14.1" customHeight="1" x14ac:dyDescent="0.2">
      <c r="A339" s="91" t="s">
        <v>99</v>
      </c>
      <c r="B339" s="96"/>
      <c r="C339" s="96"/>
      <c r="D339" s="96"/>
      <c r="E339" s="96"/>
      <c r="F339" s="96"/>
      <c r="G339" s="96"/>
      <c r="H339" s="96"/>
      <c r="I339" s="96"/>
      <c r="J339" s="96"/>
      <c r="K339" s="96"/>
      <c r="L339" s="96"/>
      <c r="M339" s="96"/>
      <c r="N339" s="96"/>
      <c r="O339" s="96"/>
      <c r="P339" s="96"/>
      <c r="Q339" s="96"/>
      <c r="R339" s="96"/>
      <c r="S339" s="96"/>
      <c r="T339" s="96"/>
      <c r="U339" s="96"/>
      <c r="V339" s="96"/>
      <c r="W339" s="96"/>
      <c r="X339" s="96"/>
      <c r="Y339" s="96"/>
      <c r="Z339" s="96"/>
      <c r="AA339" s="96"/>
      <c r="AB339" s="96"/>
      <c r="AC339" s="96"/>
    </row>
    <row r="340" spans="1:36" ht="14.1" customHeight="1" x14ac:dyDescent="0.2">
      <c r="A340" s="96"/>
      <c r="B340" s="96"/>
      <c r="C340" s="96"/>
      <c r="D340" s="96"/>
      <c r="E340" s="96"/>
      <c r="F340" s="96"/>
      <c r="G340" s="96"/>
      <c r="H340" s="96"/>
      <c r="I340" s="96"/>
      <c r="J340" s="96"/>
      <c r="K340" s="96"/>
      <c r="L340" s="96"/>
      <c r="M340" s="96"/>
      <c r="N340" s="96"/>
      <c r="O340" s="96"/>
      <c r="P340" s="96"/>
      <c r="Q340" s="96"/>
      <c r="R340" s="96"/>
      <c r="S340" s="96"/>
      <c r="T340" s="96"/>
      <c r="U340" s="96"/>
      <c r="V340" s="96"/>
      <c r="W340" s="96"/>
      <c r="X340" s="96"/>
      <c r="Y340" s="96"/>
      <c r="Z340" s="96"/>
      <c r="AA340" s="96"/>
      <c r="AB340" s="96"/>
      <c r="AC340" s="96"/>
    </row>
    <row r="341" spans="1:36" ht="14.1" customHeight="1" x14ac:dyDescent="0.2">
      <c r="A341" s="96"/>
      <c r="B341" s="96"/>
      <c r="C341" s="96"/>
      <c r="D341" s="96"/>
      <c r="E341" s="96"/>
      <c r="F341" s="96"/>
      <c r="G341" s="96"/>
      <c r="H341" s="96"/>
      <c r="I341" s="96"/>
      <c r="J341" s="96"/>
      <c r="K341" s="96"/>
      <c r="L341" s="96"/>
      <c r="M341" s="96"/>
      <c r="N341" s="96"/>
      <c r="O341" s="96"/>
      <c r="P341" s="96"/>
      <c r="Q341" s="96"/>
      <c r="R341" s="96"/>
      <c r="S341" s="96"/>
      <c r="T341" s="96"/>
      <c r="U341" s="96"/>
      <c r="V341" s="96"/>
      <c r="W341" s="96"/>
      <c r="X341" s="96"/>
      <c r="Y341" s="96"/>
      <c r="Z341" s="96"/>
      <c r="AA341" s="96"/>
      <c r="AB341" s="96"/>
      <c r="AC341" s="96"/>
    </row>
    <row r="342" spans="1:36" ht="14.1" customHeight="1" x14ac:dyDescent="0.2">
      <c r="A342" s="96"/>
      <c r="B342" s="96"/>
      <c r="C342" s="96"/>
      <c r="D342" s="96"/>
      <c r="E342" s="96"/>
      <c r="F342" s="96"/>
      <c r="G342" s="96"/>
      <c r="H342" s="96"/>
      <c r="I342" s="96"/>
      <c r="J342" s="96"/>
      <c r="K342" s="96"/>
      <c r="L342" s="96"/>
      <c r="M342" s="96"/>
      <c r="N342" s="96"/>
      <c r="O342" s="96"/>
      <c r="P342" s="96"/>
      <c r="Q342" s="96"/>
      <c r="R342" s="96"/>
      <c r="S342" s="96"/>
      <c r="T342" s="96"/>
      <c r="U342" s="96"/>
      <c r="V342" s="96"/>
      <c r="W342" s="96"/>
      <c r="X342" s="96"/>
      <c r="Y342" s="96"/>
      <c r="Z342" s="96"/>
      <c r="AA342" s="96"/>
      <c r="AB342" s="96"/>
      <c r="AC342" s="96"/>
    </row>
    <row r="343" spans="1:36" ht="14.1" customHeight="1" x14ac:dyDescent="0.2"/>
    <row r="344" spans="1:36" ht="14.1" customHeight="1" x14ac:dyDescent="0.2">
      <c r="A344" s="97" t="s">
        <v>100</v>
      </c>
      <c r="B344" s="98"/>
      <c r="C344" s="98"/>
      <c r="D344" s="98"/>
      <c r="E344" s="98"/>
      <c r="F344" s="98"/>
      <c r="G344" s="98"/>
      <c r="H344" s="98"/>
      <c r="I344" s="98"/>
      <c r="J344" s="98"/>
      <c r="K344" s="98"/>
      <c r="L344" s="98"/>
      <c r="M344" s="98"/>
      <c r="N344" s="98"/>
      <c r="O344" s="98"/>
      <c r="P344" s="98"/>
      <c r="Q344" s="98"/>
      <c r="R344" s="98"/>
      <c r="S344" s="98"/>
      <c r="T344" s="98"/>
      <c r="U344" s="98"/>
      <c r="V344" s="98"/>
      <c r="W344" s="98"/>
      <c r="X344" s="98"/>
      <c r="Y344" s="98"/>
      <c r="Z344" s="98"/>
      <c r="AA344" s="98"/>
      <c r="AB344" s="98"/>
      <c r="AC344" s="98"/>
    </row>
    <row r="345" spans="1:36" ht="14.1" customHeight="1" x14ac:dyDescent="0.2">
      <c r="A345" s="98"/>
      <c r="B345" s="98"/>
      <c r="C345" s="98"/>
      <c r="D345" s="98"/>
      <c r="E345" s="98"/>
      <c r="F345" s="98"/>
      <c r="G345" s="98"/>
      <c r="H345" s="98"/>
      <c r="I345" s="98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98"/>
      <c r="V345" s="98"/>
      <c r="W345" s="98"/>
      <c r="X345" s="98"/>
      <c r="Y345" s="98"/>
      <c r="Z345" s="98"/>
      <c r="AA345" s="98"/>
      <c r="AB345" s="98"/>
      <c r="AC345" s="98"/>
    </row>
    <row r="346" spans="1:36" ht="14.1" customHeight="1" x14ac:dyDescent="0.2">
      <c r="A346" s="98"/>
      <c r="B346" s="98"/>
      <c r="C346" s="98"/>
      <c r="D346" s="98"/>
      <c r="E346" s="98"/>
      <c r="F346" s="98"/>
      <c r="G346" s="98"/>
      <c r="H346" s="98"/>
      <c r="I346" s="98"/>
      <c r="J346" s="98"/>
      <c r="K346" s="98"/>
      <c r="L346" s="98"/>
      <c r="M346" s="98"/>
      <c r="N346" s="98"/>
      <c r="O346" s="98"/>
      <c r="P346" s="98"/>
      <c r="Q346" s="98"/>
      <c r="R346" s="98"/>
      <c r="S346" s="98"/>
      <c r="T346" s="98"/>
      <c r="U346" s="98"/>
      <c r="V346" s="98"/>
      <c r="W346" s="98"/>
      <c r="X346" s="98"/>
      <c r="Y346" s="98"/>
      <c r="Z346" s="98"/>
      <c r="AA346" s="98"/>
      <c r="AB346" s="98"/>
      <c r="AC346" s="98"/>
    </row>
    <row r="347" spans="1:36" ht="14.1" customHeight="1" x14ac:dyDescent="0.2">
      <c r="A347" s="98"/>
      <c r="B347" s="98"/>
      <c r="C347" s="98"/>
      <c r="D347" s="98"/>
      <c r="E347" s="98"/>
      <c r="F347" s="98"/>
      <c r="G347" s="98"/>
      <c r="H347" s="98"/>
      <c r="I347" s="98"/>
      <c r="J347" s="98"/>
      <c r="K347" s="98"/>
      <c r="L347" s="98"/>
      <c r="M347" s="98"/>
      <c r="N347" s="98"/>
      <c r="O347" s="98"/>
      <c r="P347" s="98"/>
      <c r="Q347" s="98"/>
      <c r="R347" s="98"/>
      <c r="S347" s="98"/>
      <c r="T347" s="98"/>
      <c r="U347" s="98"/>
      <c r="V347" s="98"/>
      <c r="W347" s="98"/>
      <c r="X347" s="98"/>
      <c r="Y347" s="98"/>
      <c r="Z347" s="98"/>
      <c r="AA347" s="98"/>
      <c r="AB347" s="98"/>
      <c r="AC347" s="98"/>
    </row>
    <row r="348" spans="1:36" ht="14.1" customHeight="1" x14ac:dyDescent="0.2">
      <c r="A348" s="98"/>
      <c r="B348" s="98"/>
      <c r="C348" s="98"/>
      <c r="D348" s="98"/>
      <c r="E348" s="98"/>
      <c r="F348" s="98"/>
      <c r="G348" s="98"/>
      <c r="H348" s="98"/>
      <c r="I348" s="98"/>
      <c r="J348" s="98"/>
      <c r="K348" s="98"/>
      <c r="L348" s="98"/>
      <c r="M348" s="98"/>
      <c r="N348" s="98"/>
      <c r="O348" s="98"/>
      <c r="P348" s="98"/>
      <c r="Q348" s="98"/>
      <c r="R348" s="98"/>
      <c r="S348" s="98"/>
      <c r="T348" s="98"/>
      <c r="U348" s="98"/>
      <c r="V348" s="98"/>
      <c r="W348" s="98"/>
      <c r="X348" s="98"/>
      <c r="Y348" s="98"/>
      <c r="Z348" s="98"/>
      <c r="AA348" s="98"/>
      <c r="AB348" s="98"/>
      <c r="AC348" s="98"/>
    </row>
    <row r="349" spans="1:36" ht="14.1" customHeight="1" x14ac:dyDescent="0.2">
      <c r="A349" s="98"/>
      <c r="B349" s="98"/>
      <c r="C349" s="98"/>
      <c r="D349" s="98"/>
      <c r="E349" s="98"/>
      <c r="F349" s="98"/>
      <c r="G349" s="98"/>
      <c r="H349" s="98"/>
      <c r="I349" s="98"/>
      <c r="J349" s="98"/>
      <c r="K349" s="98"/>
      <c r="L349" s="98"/>
      <c r="M349" s="98"/>
      <c r="N349" s="98"/>
      <c r="O349" s="98"/>
      <c r="P349" s="98"/>
      <c r="Q349" s="98"/>
      <c r="R349" s="98"/>
      <c r="S349" s="98"/>
      <c r="T349" s="98"/>
      <c r="U349" s="98"/>
      <c r="V349" s="98"/>
      <c r="W349" s="98"/>
      <c r="X349" s="98"/>
      <c r="Y349" s="98"/>
      <c r="Z349" s="98"/>
      <c r="AA349" s="98"/>
      <c r="AB349" s="98"/>
      <c r="AC349" s="98"/>
    </row>
    <row r="350" spans="1:36" ht="14.1" customHeight="1" x14ac:dyDescent="0.2">
      <c r="A350" s="98"/>
      <c r="B350" s="98"/>
      <c r="C350" s="98"/>
      <c r="D350" s="98"/>
      <c r="E350" s="98"/>
      <c r="F350" s="98"/>
      <c r="G350" s="98"/>
      <c r="H350" s="98"/>
      <c r="I350" s="98"/>
      <c r="J350" s="98"/>
      <c r="K350" s="98"/>
      <c r="L350" s="98"/>
      <c r="M350" s="98"/>
      <c r="N350" s="98"/>
      <c r="O350" s="98"/>
      <c r="P350" s="98"/>
      <c r="Q350" s="98"/>
      <c r="R350" s="98"/>
      <c r="S350" s="98"/>
      <c r="T350" s="98"/>
      <c r="U350" s="98"/>
      <c r="V350" s="98"/>
      <c r="W350" s="98"/>
      <c r="X350" s="98"/>
      <c r="Y350" s="98"/>
      <c r="Z350" s="98"/>
      <c r="AA350" s="98"/>
      <c r="AB350" s="98"/>
      <c r="AC350" s="98"/>
    </row>
    <row r="351" spans="1:36" ht="14.1" customHeight="1" x14ac:dyDescent="0.2">
      <c r="A351" s="98"/>
      <c r="B351" s="98"/>
      <c r="C351" s="98"/>
      <c r="D351" s="98"/>
      <c r="E351" s="98"/>
      <c r="F351" s="98"/>
      <c r="G351" s="98"/>
      <c r="H351" s="98"/>
      <c r="I351" s="98"/>
      <c r="J351" s="98"/>
      <c r="K351" s="98"/>
      <c r="L351" s="98"/>
      <c r="M351" s="98"/>
      <c r="N351" s="98"/>
      <c r="O351" s="98"/>
      <c r="P351" s="98"/>
      <c r="Q351" s="98"/>
      <c r="R351" s="98"/>
      <c r="S351" s="98"/>
      <c r="T351" s="98"/>
      <c r="U351" s="98"/>
      <c r="V351" s="98"/>
      <c r="W351" s="98"/>
      <c r="X351" s="98"/>
      <c r="Y351" s="98"/>
      <c r="Z351" s="98"/>
      <c r="AA351" s="98"/>
      <c r="AB351" s="98"/>
      <c r="AC351" s="98"/>
    </row>
    <row r="352" spans="1:36" ht="24.95" customHeight="1" x14ac:dyDescent="0.25">
      <c r="A352" s="89" t="s">
        <v>103</v>
      </c>
      <c r="B352" s="90"/>
      <c r="C352" s="90"/>
      <c r="D352" s="90"/>
      <c r="E352" s="90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90"/>
      <c r="R352" s="90"/>
      <c r="S352" s="90"/>
      <c r="T352" s="90"/>
      <c r="U352" s="90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</row>
    <row r="353" spans="1:36" ht="120" customHeight="1" x14ac:dyDescent="0.2">
      <c r="A353" s="91" t="s">
        <v>137</v>
      </c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</row>
    <row r="354" spans="1:36" ht="14.1" customHeight="1" x14ac:dyDescent="0.2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</row>
    <row r="355" spans="1:36" ht="14.1" customHeight="1" x14ac:dyDescent="0.2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</row>
    <row r="356" spans="1:36" ht="14.1" customHeight="1" thickBot="1" x14ac:dyDescent="0.2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</row>
    <row r="357" spans="1:36" ht="99" customHeight="1" x14ac:dyDescent="0.2">
      <c r="A357" s="73" t="s">
        <v>1</v>
      </c>
      <c r="B357" s="93" t="s">
        <v>39</v>
      </c>
      <c r="C357" s="94"/>
      <c r="D357" s="94"/>
      <c r="E357" s="94"/>
      <c r="F357" s="94"/>
      <c r="G357" s="94"/>
      <c r="H357" s="95"/>
      <c r="I357" s="93" t="s">
        <v>93</v>
      </c>
      <c r="J357" s="94"/>
      <c r="K357" s="95"/>
      <c r="L357" s="93" t="s">
        <v>94</v>
      </c>
      <c r="M357" s="94"/>
      <c r="N357" s="95"/>
      <c r="O357" s="93" t="s">
        <v>95</v>
      </c>
      <c r="P357" s="94"/>
      <c r="Q357" s="95"/>
      <c r="R357" s="66"/>
      <c r="S357" s="67"/>
      <c r="T357" s="65"/>
      <c r="U357" s="65"/>
      <c r="V357" s="65"/>
      <c r="W357" s="65"/>
      <c r="X357" s="65"/>
      <c r="Y357" s="65"/>
      <c r="Z357" s="65"/>
      <c r="AA357" s="65"/>
      <c r="AB357" s="65"/>
      <c r="AC357" s="65"/>
      <c r="AD357" s="65"/>
      <c r="AE357" s="65"/>
      <c r="AF357" s="68"/>
      <c r="AG357" s="68"/>
      <c r="AH357" s="68"/>
      <c r="AI357" s="68"/>
      <c r="AJ357" s="68"/>
    </row>
    <row r="358" spans="1:36" ht="14.1" customHeight="1" x14ac:dyDescent="0.2">
      <c r="A358" s="69" t="s">
        <v>2</v>
      </c>
      <c r="B358" s="69">
        <v>1</v>
      </c>
      <c r="C358" s="69">
        <v>2</v>
      </c>
      <c r="D358" s="69">
        <v>3</v>
      </c>
      <c r="E358" s="69">
        <v>4</v>
      </c>
      <c r="F358" s="69">
        <v>5</v>
      </c>
      <c r="G358" s="69">
        <v>6</v>
      </c>
      <c r="H358" s="69">
        <v>7</v>
      </c>
      <c r="I358" s="69">
        <v>8</v>
      </c>
      <c r="J358" s="69">
        <v>9</v>
      </c>
      <c r="K358" s="69">
        <v>10</v>
      </c>
      <c r="L358" s="69">
        <v>11</v>
      </c>
      <c r="M358" s="69">
        <v>12</v>
      </c>
      <c r="N358" s="69">
        <v>13</v>
      </c>
      <c r="O358" s="69">
        <v>14</v>
      </c>
      <c r="P358" s="69">
        <v>15</v>
      </c>
      <c r="Q358" s="69">
        <v>16</v>
      </c>
      <c r="R358" s="69" t="s">
        <v>4</v>
      </c>
      <c r="S358" s="72" t="s">
        <v>17</v>
      </c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</row>
    <row r="359" spans="1:36" ht="14.1" customHeight="1" x14ac:dyDescent="0.2">
      <c r="A359" s="69" t="s">
        <v>3</v>
      </c>
      <c r="B359" s="69">
        <v>1</v>
      </c>
      <c r="C359" s="69">
        <v>1</v>
      </c>
      <c r="D359" s="69">
        <v>1</v>
      </c>
      <c r="E359" s="69">
        <v>1</v>
      </c>
      <c r="F359" s="69">
        <v>1</v>
      </c>
      <c r="G359" s="69">
        <v>1</v>
      </c>
      <c r="H359" s="69">
        <v>3</v>
      </c>
      <c r="I359" s="69">
        <v>1</v>
      </c>
      <c r="J359" s="69">
        <v>1</v>
      </c>
      <c r="K359" s="69">
        <v>1</v>
      </c>
      <c r="L359" s="69">
        <v>1</v>
      </c>
      <c r="M359" s="69">
        <v>1</v>
      </c>
      <c r="N359" s="69">
        <v>1</v>
      </c>
      <c r="O359" s="69">
        <v>1</v>
      </c>
      <c r="P359" s="69">
        <v>1</v>
      </c>
      <c r="Q359" s="69">
        <v>1</v>
      </c>
      <c r="R359" s="69">
        <v>18</v>
      </c>
      <c r="S359" s="72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</row>
    <row r="360" spans="1:36" ht="14.1" customHeight="1" thickBot="1" x14ac:dyDescent="0.25">
      <c r="A360" s="70" t="s">
        <v>92</v>
      </c>
      <c r="B360" s="70">
        <v>1</v>
      </c>
      <c r="C360" s="70">
        <v>1</v>
      </c>
      <c r="D360" s="70">
        <v>1</v>
      </c>
      <c r="E360" s="70">
        <v>1</v>
      </c>
      <c r="F360" s="70">
        <v>1</v>
      </c>
      <c r="G360" s="70">
        <v>1</v>
      </c>
      <c r="H360" s="70">
        <v>3</v>
      </c>
      <c r="I360" s="70">
        <v>1</v>
      </c>
      <c r="J360" s="70">
        <v>0</v>
      </c>
      <c r="K360" s="70">
        <v>0</v>
      </c>
      <c r="L360" s="70">
        <v>1</v>
      </c>
      <c r="M360" s="70">
        <v>1</v>
      </c>
      <c r="N360" s="70">
        <v>1</v>
      </c>
      <c r="O360" s="70">
        <v>1</v>
      </c>
      <c r="P360" s="70">
        <v>1</v>
      </c>
      <c r="Q360" s="70">
        <v>1</v>
      </c>
      <c r="R360" s="70">
        <v>16</v>
      </c>
      <c r="S360" s="71">
        <v>0.88888888888888884</v>
      </c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</row>
    <row r="361" spans="1:36" ht="14.1" customHeight="1" x14ac:dyDescent="0.2"/>
    <row r="362" spans="1:36" ht="23.25" customHeight="1" x14ac:dyDescent="0.25">
      <c r="A362" s="74" t="s">
        <v>123</v>
      </c>
    </row>
    <row r="363" spans="1:36" ht="14.1" customHeight="1" x14ac:dyDescent="0.2"/>
    <row r="364" spans="1:36" ht="14.1" customHeight="1" x14ac:dyDescent="0.2">
      <c r="A364" s="91" t="s">
        <v>99</v>
      </c>
      <c r="B364" s="96"/>
      <c r="C364" s="96"/>
      <c r="D364" s="96"/>
      <c r="E364" s="96"/>
      <c r="F364" s="96"/>
      <c r="G364" s="96"/>
      <c r="H364" s="96"/>
      <c r="I364" s="96"/>
      <c r="J364" s="96"/>
      <c r="K364" s="96"/>
      <c r="L364" s="96"/>
      <c r="M364" s="96"/>
      <c r="N364" s="96"/>
      <c r="O364" s="96"/>
      <c r="P364" s="96"/>
      <c r="Q364" s="96"/>
      <c r="R364" s="96"/>
      <c r="S364" s="96"/>
      <c r="T364" s="96"/>
      <c r="U364" s="96"/>
      <c r="V364" s="96"/>
      <c r="W364" s="96"/>
      <c r="X364" s="96"/>
      <c r="Y364" s="96"/>
      <c r="Z364" s="96"/>
      <c r="AA364" s="96"/>
      <c r="AB364" s="96"/>
      <c r="AC364" s="96"/>
    </row>
    <row r="365" spans="1:36" ht="14.1" customHeight="1" x14ac:dyDescent="0.2">
      <c r="A365" s="96"/>
      <c r="B365" s="96"/>
      <c r="C365" s="96"/>
      <c r="D365" s="96"/>
      <c r="E365" s="96"/>
      <c r="F365" s="96"/>
      <c r="G365" s="96"/>
      <c r="H365" s="96"/>
      <c r="I365" s="96"/>
      <c r="J365" s="96"/>
      <c r="K365" s="96"/>
      <c r="L365" s="96"/>
      <c r="M365" s="96"/>
      <c r="N365" s="96"/>
      <c r="O365" s="96"/>
      <c r="P365" s="96"/>
      <c r="Q365" s="96"/>
      <c r="R365" s="96"/>
      <c r="S365" s="96"/>
      <c r="T365" s="96"/>
      <c r="U365" s="96"/>
      <c r="V365" s="96"/>
      <c r="W365" s="96"/>
      <c r="X365" s="96"/>
      <c r="Y365" s="96"/>
      <c r="Z365" s="96"/>
      <c r="AA365" s="96"/>
      <c r="AB365" s="96"/>
      <c r="AC365" s="96"/>
    </row>
    <row r="366" spans="1:36" ht="14.1" customHeight="1" x14ac:dyDescent="0.2">
      <c r="A366" s="96"/>
      <c r="B366" s="96"/>
      <c r="C366" s="96"/>
      <c r="D366" s="96"/>
      <c r="E366" s="96"/>
      <c r="F366" s="96"/>
      <c r="G366" s="96"/>
      <c r="H366" s="96"/>
      <c r="I366" s="96"/>
      <c r="J366" s="96"/>
      <c r="K366" s="96"/>
      <c r="L366" s="96"/>
      <c r="M366" s="96"/>
      <c r="N366" s="96"/>
      <c r="O366" s="96"/>
      <c r="P366" s="96"/>
      <c r="Q366" s="96"/>
      <c r="R366" s="96"/>
      <c r="S366" s="96"/>
      <c r="T366" s="96"/>
      <c r="U366" s="96"/>
      <c r="V366" s="96"/>
      <c r="W366" s="96"/>
      <c r="X366" s="96"/>
      <c r="Y366" s="96"/>
      <c r="Z366" s="96"/>
      <c r="AA366" s="96"/>
      <c r="AB366" s="96"/>
      <c r="AC366" s="96"/>
    </row>
    <row r="367" spans="1:36" ht="14.1" customHeight="1" x14ac:dyDescent="0.2">
      <c r="A367" s="96"/>
      <c r="B367" s="96"/>
      <c r="C367" s="96"/>
      <c r="D367" s="96"/>
      <c r="E367" s="96"/>
      <c r="F367" s="96"/>
      <c r="G367" s="96"/>
      <c r="H367" s="96"/>
      <c r="I367" s="96"/>
      <c r="J367" s="96"/>
      <c r="K367" s="96"/>
      <c r="L367" s="96"/>
      <c r="M367" s="96"/>
      <c r="N367" s="96"/>
      <c r="O367" s="96"/>
      <c r="P367" s="96"/>
      <c r="Q367" s="96"/>
      <c r="R367" s="96"/>
      <c r="S367" s="96"/>
      <c r="T367" s="96"/>
      <c r="U367" s="96"/>
      <c r="V367" s="96"/>
      <c r="W367" s="96"/>
      <c r="X367" s="96"/>
      <c r="Y367" s="96"/>
      <c r="Z367" s="96"/>
      <c r="AA367" s="96"/>
      <c r="AB367" s="96"/>
      <c r="AC367" s="96"/>
    </row>
    <row r="368" spans="1:36" ht="14.1" customHeight="1" x14ac:dyDescent="0.2"/>
    <row r="369" spans="1:36" ht="14.1" customHeight="1" x14ac:dyDescent="0.2">
      <c r="A369" s="97" t="s">
        <v>100</v>
      </c>
      <c r="B369" s="98"/>
      <c r="C369" s="98"/>
      <c r="D369" s="98"/>
      <c r="E369" s="98"/>
      <c r="F369" s="98"/>
      <c r="G369" s="98"/>
      <c r="H369" s="98"/>
      <c r="I369" s="98"/>
      <c r="J369" s="98"/>
      <c r="K369" s="98"/>
      <c r="L369" s="98"/>
      <c r="M369" s="98"/>
      <c r="N369" s="98"/>
      <c r="O369" s="98"/>
      <c r="P369" s="98"/>
      <c r="Q369" s="98"/>
      <c r="R369" s="98"/>
      <c r="S369" s="98"/>
      <c r="T369" s="98"/>
      <c r="U369" s="98"/>
      <c r="V369" s="98"/>
      <c r="W369" s="98"/>
      <c r="X369" s="98"/>
      <c r="Y369" s="98"/>
      <c r="Z369" s="98"/>
      <c r="AA369" s="98"/>
      <c r="AB369" s="98"/>
      <c r="AC369" s="98"/>
    </row>
    <row r="370" spans="1:36" ht="14.1" customHeight="1" x14ac:dyDescent="0.2">
      <c r="A370" s="98"/>
      <c r="B370" s="98"/>
      <c r="C370" s="98"/>
      <c r="D370" s="98"/>
      <c r="E370" s="98"/>
      <c r="F370" s="98"/>
      <c r="G370" s="98"/>
      <c r="H370" s="98"/>
      <c r="I370" s="98"/>
      <c r="J370" s="98"/>
      <c r="K370" s="98"/>
      <c r="L370" s="98"/>
      <c r="M370" s="98"/>
      <c r="N370" s="98"/>
      <c r="O370" s="98"/>
      <c r="P370" s="98"/>
      <c r="Q370" s="98"/>
      <c r="R370" s="98"/>
      <c r="S370" s="98"/>
      <c r="T370" s="98"/>
      <c r="U370" s="98"/>
      <c r="V370" s="98"/>
      <c r="W370" s="98"/>
      <c r="X370" s="98"/>
      <c r="Y370" s="98"/>
      <c r="Z370" s="98"/>
      <c r="AA370" s="98"/>
      <c r="AB370" s="98"/>
      <c r="AC370" s="98"/>
    </row>
    <row r="371" spans="1:36" ht="14.1" customHeight="1" x14ac:dyDescent="0.2">
      <c r="A371" s="98"/>
      <c r="B371" s="98"/>
      <c r="C371" s="98"/>
      <c r="D371" s="98"/>
      <c r="E371" s="98"/>
      <c r="F371" s="98"/>
      <c r="G371" s="98"/>
      <c r="H371" s="98"/>
      <c r="I371" s="98"/>
      <c r="J371" s="98"/>
      <c r="K371" s="98"/>
      <c r="L371" s="98"/>
      <c r="M371" s="98"/>
      <c r="N371" s="98"/>
      <c r="O371" s="98"/>
      <c r="P371" s="98"/>
      <c r="Q371" s="98"/>
      <c r="R371" s="98"/>
      <c r="S371" s="98"/>
      <c r="T371" s="98"/>
      <c r="U371" s="98"/>
      <c r="V371" s="98"/>
      <c r="W371" s="98"/>
      <c r="X371" s="98"/>
      <c r="Y371" s="98"/>
      <c r="Z371" s="98"/>
      <c r="AA371" s="98"/>
      <c r="AB371" s="98"/>
      <c r="AC371" s="98"/>
    </row>
    <row r="372" spans="1:36" ht="14.1" customHeight="1" x14ac:dyDescent="0.2">
      <c r="A372" s="98"/>
      <c r="B372" s="98"/>
      <c r="C372" s="98"/>
      <c r="D372" s="98"/>
      <c r="E372" s="98"/>
      <c r="F372" s="98"/>
      <c r="G372" s="98"/>
      <c r="H372" s="98"/>
      <c r="I372" s="98"/>
      <c r="J372" s="98"/>
      <c r="K372" s="98"/>
      <c r="L372" s="98"/>
      <c r="M372" s="98"/>
      <c r="N372" s="98"/>
      <c r="O372" s="98"/>
      <c r="P372" s="98"/>
      <c r="Q372" s="98"/>
      <c r="R372" s="98"/>
      <c r="S372" s="98"/>
      <c r="T372" s="98"/>
      <c r="U372" s="98"/>
      <c r="V372" s="98"/>
      <c r="W372" s="98"/>
      <c r="X372" s="98"/>
      <c r="Y372" s="98"/>
      <c r="Z372" s="98"/>
      <c r="AA372" s="98"/>
      <c r="AB372" s="98"/>
      <c r="AC372" s="98"/>
    </row>
    <row r="373" spans="1:36" ht="14.1" customHeight="1" x14ac:dyDescent="0.2">
      <c r="A373" s="98"/>
      <c r="B373" s="98"/>
      <c r="C373" s="98"/>
      <c r="D373" s="98"/>
      <c r="E373" s="98"/>
      <c r="F373" s="98"/>
      <c r="G373" s="98"/>
      <c r="H373" s="98"/>
      <c r="I373" s="98"/>
      <c r="J373" s="98"/>
      <c r="K373" s="98"/>
      <c r="L373" s="98"/>
      <c r="M373" s="98"/>
      <c r="N373" s="98"/>
      <c r="O373" s="98"/>
      <c r="P373" s="98"/>
      <c r="Q373" s="98"/>
      <c r="R373" s="98"/>
      <c r="S373" s="98"/>
      <c r="T373" s="98"/>
      <c r="U373" s="98"/>
      <c r="V373" s="98"/>
      <c r="W373" s="98"/>
      <c r="X373" s="98"/>
      <c r="Y373" s="98"/>
      <c r="Z373" s="98"/>
      <c r="AA373" s="98"/>
      <c r="AB373" s="98"/>
      <c r="AC373" s="98"/>
    </row>
    <row r="374" spans="1:36" ht="14.1" customHeight="1" x14ac:dyDescent="0.2">
      <c r="A374" s="98"/>
      <c r="B374" s="98"/>
      <c r="C374" s="98"/>
      <c r="D374" s="98"/>
      <c r="E374" s="98"/>
      <c r="F374" s="98"/>
      <c r="G374" s="98"/>
      <c r="H374" s="98"/>
      <c r="I374" s="98"/>
      <c r="J374" s="98"/>
      <c r="K374" s="98"/>
      <c r="L374" s="98"/>
      <c r="M374" s="98"/>
      <c r="N374" s="98"/>
      <c r="O374" s="98"/>
      <c r="P374" s="98"/>
      <c r="Q374" s="98"/>
      <c r="R374" s="98"/>
      <c r="S374" s="98"/>
      <c r="T374" s="98"/>
      <c r="U374" s="98"/>
      <c r="V374" s="98"/>
      <c r="W374" s="98"/>
      <c r="X374" s="98"/>
      <c r="Y374" s="98"/>
      <c r="Z374" s="98"/>
      <c r="AA374" s="98"/>
      <c r="AB374" s="98"/>
      <c r="AC374" s="98"/>
    </row>
    <row r="375" spans="1:36" ht="14.1" customHeight="1" x14ac:dyDescent="0.2">
      <c r="A375" s="98"/>
      <c r="B375" s="98"/>
      <c r="C375" s="98"/>
      <c r="D375" s="98"/>
      <c r="E375" s="98"/>
      <c r="F375" s="98"/>
      <c r="G375" s="98"/>
      <c r="H375" s="98"/>
      <c r="I375" s="98"/>
      <c r="J375" s="98"/>
      <c r="K375" s="98"/>
      <c r="L375" s="98"/>
      <c r="M375" s="98"/>
      <c r="N375" s="98"/>
      <c r="O375" s="98"/>
      <c r="P375" s="98"/>
      <c r="Q375" s="98"/>
      <c r="R375" s="98"/>
      <c r="S375" s="98"/>
      <c r="T375" s="98"/>
      <c r="U375" s="98"/>
      <c r="V375" s="98"/>
      <c r="W375" s="98"/>
      <c r="X375" s="98"/>
      <c r="Y375" s="98"/>
      <c r="Z375" s="98"/>
      <c r="AA375" s="98"/>
      <c r="AB375" s="98"/>
      <c r="AC375" s="98"/>
    </row>
    <row r="376" spans="1:36" ht="14.1" customHeight="1" x14ac:dyDescent="0.2">
      <c r="A376" s="98"/>
      <c r="B376" s="98"/>
      <c r="C376" s="98"/>
      <c r="D376" s="98"/>
      <c r="E376" s="98"/>
      <c r="F376" s="98"/>
      <c r="G376" s="98"/>
      <c r="H376" s="98"/>
      <c r="I376" s="98"/>
      <c r="J376" s="98"/>
      <c r="K376" s="98"/>
      <c r="L376" s="98"/>
      <c r="M376" s="98"/>
      <c r="N376" s="98"/>
      <c r="O376" s="98"/>
      <c r="P376" s="98"/>
      <c r="Q376" s="98"/>
      <c r="R376" s="98"/>
      <c r="S376" s="98"/>
      <c r="T376" s="98"/>
      <c r="U376" s="98"/>
      <c r="V376" s="98"/>
      <c r="W376" s="98"/>
      <c r="X376" s="98"/>
      <c r="Y376" s="98"/>
      <c r="Z376" s="98"/>
      <c r="AA376" s="98"/>
      <c r="AB376" s="98"/>
      <c r="AC376" s="98"/>
    </row>
    <row r="377" spans="1:36" ht="24.95" customHeight="1" x14ac:dyDescent="0.25">
      <c r="A377" s="89" t="s">
        <v>103</v>
      </c>
      <c r="B377" s="90"/>
      <c r="C377" s="90"/>
      <c r="D377" s="90"/>
      <c r="E377" s="90"/>
      <c r="F377" s="90"/>
      <c r="G377" s="90"/>
      <c r="H377" s="90"/>
      <c r="I377" s="90"/>
      <c r="J377" s="90"/>
      <c r="K377" s="90"/>
      <c r="L377" s="90"/>
      <c r="M377" s="90"/>
      <c r="N377" s="90"/>
      <c r="O377" s="90"/>
      <c r="P377" s="90"/>
      <c r="Q377" s="90"/>
      <c r="R377" s="90"/>
      <c r="S377" s="90"/>
      <c r="T377" s="90"/>
      <c r="U377" s="90"/>
      <c r="V377" s="90"/>
      <c r="W377" s="90"/>
      <c r="X377" s="90"/>
      <c r="Y377" s="90"/>
      <c r="Z377" s="90"/>
      <c r="AA377" s="90"/>
      <c r="AB377" s="90"/>
      <c r="AC377" s="90"/>
      <c r="AD377" s="90"/>
      <c r="AE377" s="90"/>
      <c r="AF377" s="90"/>
      <c r="AG377" s="90"/>
      <c r="AH377" s="90"/>
      <c r="AI377" s="90"/>
      <c r="AJ377" s="90"/>
    </row>
    <row r="378" spans="1:36" ht="120" customHeight="1" x14ac:dyDescent="0.2">
      <c r="A378" s="91" t="s">
        <v>138</v>
      </c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</row>
    <row r="379" spans="1:36" ht="14.1" customHeight="1" x14ac:dyDescent="0.2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</row>
    <row r="380" spans="1:36" ht="14.1" customHeight="1" x14ac:dyDescent="0.2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</row>
    <row r="381" spans="1:36" ht="14.1" customHeight="1" thickBot="1" x14ac:dyDescent="0.2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</row>
    <row r="382" spans="1:36" ht="99" customHeight="1" x14ac:dyDescent="0.2">
      <c r="A382" s="73" t="s">
        <v>1</v>
      </c>
      <c r="B382" s="93" t="s">
        <v>39</v>
      </c>
      <c r="C382" s="94"/>
      <c r="D382" s="94"/>
      <c r="E382" s="94"/>
      <c r="F382" s="94"/>
      <c r="G382" s="94"/>
      <c r="H382" s="95"/>
      <c r="I382" s="93" t="s">
        <v>93</v>
      </c>
      <c r="J382" s="94"/>
      <c r="K382" s="95"/>
      <c r="L382" s="93" t="s">
        <v>94</v>
      </c>
      <c r="M382" s="94"/>
      <c r="N382" s="95"/>
      <c r="O382" s="93" t="s">
        <v>95</v>
      </c>
      <c r="P382" s="94"/>
      <c r="Q382" s="95"/>
      <c r="R382" s="66"/>
      <c r="S382" s="67"/>
      <c r="T382" s="65"/>
      <c r="U382" s="65"/>
      <c r="V382" s="65"/>
      <c r="W382" s="65"/>
      <c r="X382" s="65"/>
      <c r="Y382" s="65"/>
      <c r="Z382" s="65"/>
      <c r="AA382" s="65"/>
      <c r="AB382" s="65"/>
      <c r="AC382" s="65"/>
      <c r="AD382" s="65"/>
      <c r="AE382" s="65"/>
      <c r="AF382" s="68"/>
      <c r="AG382" s="68"/>
      <c r="AH382" s="68"/>
      <c r="AI382" s="68"/>
      <c r="AJ382" s="68"/>
    </row>
    <row r="383" spans="1:36" ht="14.1" customHeight="1" x14ac:dyDescent="0.2">
      <c r="A383" s="69" t="s">
        <v>2</v>
      </c>
      <c r="B383" s="69">
        <v>1</v>
      </c>
      <c r="C383" s="69">
        <v>2</v>
      </c>
      <c r="D383" s="69">
        <v>3</v>
      </c>
      <c r="E383" s="69">
        <v>4</v>
      </c>
      <c r="F383" s="69">
        <v>5</v>
      </c>
      <c r="G383" s="69">
        <v>6</v>
      </c>
      <c r="H383" s="69">
        <v>7</v>
      </c>
      <c r="I383" s="69">
        <v>8</v>
      </c>
      <c r="J383" s="69">
        <v>9</v>
      </c>
      <c r="K383" s="69">
        <v>10</v>
      </c>
      <c r="L383" s="69">
        <v>11</v>
      </c>
      <c r="M383" s="69">
        <v>12</v>
      </c>
      <c r="N383" s="69">
        <v>13</v>
      </c>
      <c r="O383" s="69">
        <v>14</v>
      </c>
      <c r="P383" s="69">
        <v>15</v>
      </c>
      <c r="Q383" s="69">
        <v>16</v>
      </c>
      <c r="R383" s="69" t="s">
        <v>4</v>
      </c>
      <c r="S383" s="72" t="s">
        <v>17</v>
      </c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</row>
    <row r="384" spans="1:36" ht="14.1" customHeight="1" x14ac:dyDescent="0.2">
      <c r="A384" s="69" t="s">
        <v>3</v>
      </c>
      <c r="B384" s="69">
        <v>1</v>
      </c>
      <c r="C384" s="69">
        <v>1</v>
      </c>
      <c r="D384" s="69">
        <v>1</v>
      </c>
      <c r="E384" s="69">
        <v>1</v>
      </c>
      <c r="F384" s="69">
        <v>1</v>
      </c>
      <c r="G384" s="69">
        <v>1</v>
      </c>
      <c r="H384" s="69">
        <v>3</v>
      </c>
      <c r="I384" s="69">
        <v>1</v>
      </c>
      <c r="J384" s="69">
        <v>1</v>
      </c>
      <c r="K384" s="69">
        <v>1</v>
      </c>
      <c r="L384" s="69">
        <v>1</v>
      </c>
      <c r="M384" s="69">
        <v>1</v>
      </c>
      <c r="N384" s="69">
        <v>1</v>
      </c>
      <c r="O384" s="69">
        <v>1</v>
      </c>
      <c r="P384" s="69">
        <v>1</v>
      </c>
      <c r="Q384" s="69">
        <v>1</v>
      </c>
      <c r="R384" s="69">
        <v>18</v>
      </c>
      <c r="S384" s="72"/>
      <c r="T384" s="64"/>
      <c r="U384" s="64"/>
      <c r="V384" s="64"/>
      <c r="W384" s="64"/>
      <c r="X384" s="64"/>
      <c r="Y384" s="64"/>
      <c r="Z384" s="64"/>
      <c r="AA384" s="64"/>
      <c r="AB384" s="64"/>
      <c r="AC384" s="64"/>
      <c r="AD384" s="64"/>
      <c r="AE384" s="64"/>
    </row>
    <row r="385" spans="1:31" ht="14.1" customHeight="1" thickBot="1" x14ac:dyDescent="0.25">
      <c r="A385" s="70" t="s">
        <v>92</v>
      </c>
      <c r="B385" s="70">
        <v>1</v>
      </c>
      <c r="C385" s="70">
        <v>1</v>
      </c>
      <c r="D385" s="70">
        <v>1</v>
      </c>
      <c r="E385" s="70">
        <v>1</v>
      </c>
      <c r="F385" s="70">
        <v>1</v>
      </c>
      <c r="G385" s="70">
        <v>1</v>
      </c>
      <c r="H385" s="70">
        <v>3</v>
      </c>
      <c r="I385" s="70">
        <v>1</v>
      </c>
      <c r="J385" s="70">
        <v>1</v>
      </c>
      <c r="K385" s="70">
        <v>1</v>
      </c>
      <c r="L385" s="70">
        <v>1</v>
      </c>
      <c r="M385" s="70">
        <v>1</v>
      </c>
      <c r="N385" s="70">
        <v>1</v>
      </c>
      <c r="O385" s="70">
        <v>1</v>
      </c>
      <c r="P385" s="70">
        <v>1</v>
      </c>
      <c r="Q385" s="70">
        <v>1</v>
      </c>
      <c r="R385" s="70">
        <v>18</v>
      </c>
      <c r="S385" s="71">
        <v>1</v>
      </c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</row>
    <row r="386" spans="1:31" ht="14.1" customHeight="1" x14ac:dyDescent="0.2"/>
    <row r="387" spans="1:31" ht="23.25" customHeight="1" x14ac:dyDescent="0.25">
      <c r="A387" s="74" t="s">
        <v>123</v>
      </c>
    </row>
    <row r="388" spans="1:31" ht="14.1" customHeight="1" x14ac:dyDescent="0.2"/>
    <row r="389" spans="1:31" ht="14.1" customHeight="1" x14ac:dyDescent="0.2">
      <c r="A389" s="91" t="s">
        <v>99</v>
      </c>
      <c r="B389" s="96"/>
      <c r="C389" s="96"/>
      <c r="D389" s="96"/>
      <c r="E389" s="96"/>
      <c r="F389" s="96"/>
      <c r="G389" s="96"/>
      <c r="H389" s="96"/>
      <c r="I389" s="96"/>
      <c r="J389" s="96"/>
      <c r="K389" s="96"/>
      <c r="L389" s="96"/>
      <c r="M389" s="96"/>
      <c r="N389" s="96"/>
      <c r="O389" s="96"/>
      <c r="P389" s="96"/>
      <c r="Q389" s="96"/>
      <c r="R389" s="96"/>
      <c r="S389" s="96"/>
      <c r="T389" s="96"/>
      <c r="U389" s="96"/>
      <c r="V389" s="96"/>
      <c r="W389" s="96"/>
      <c r="X389" s="96"/>
      <c r="Y389" s="96"/>
      <c r="Z389" s="96"/>
      <c r="AA389" s="96"/>
      <c r="AB389" s="96"/>
      <c r="AC389" s="96"/>
    </row>
    <row r="390" spans="1:31" ht="14.1" customHeight="1" x14ac:dyDescent="0.2">
      <c r="A390" s="96"/>
      <c r="B390" s="96"/>
      <c r="C390" s="96"/>
      <c r="D390" s="96"/>
      <c r="E390" s="96"/>
      <c r="F390" s="96"/>
      <c r="G390" s="96"/>
      <c r="H390" s="96"/>
      <c r="I390" s="96"/>
      <c r="J390" s="96"/>
      <c r="K390" s="96"/>
      <c r="L390" s="96"/>
      <c r="M390" s="96"/>
      <c r="N390" s="96"/>
      <c r="O390" s="96"/>
      <c r="P390" s="96"/>
      <c r="Q390" s="96"/>
      <c r="R390" s="96"/>
      <c r="S390" s="96"/>
      <c r="T390" s="96"/>
      <c r="U390" s="96"/>
      <c r="V390" s="96"/>
      <c r="W390" s="96"/>
      <c r="X390" s="96"/>
      <c r="Y390" s="96"/>
      <c r="Z390" s="96"/>
      <c r="AA390" s="96"/>
      <c r="AB390" s="96"/>
      <c r="AC390" s="96"/>
    </row>
    <row r="391" spans="1:31" ht="14.1" customHeight="1" x14ac:dyDescent="0.2">
      <c r="A391" s="96"/>
      <c r="B391" s="96"/>
      <c r="C391" s="96"/>
      <c r="D391" s="96"/>
      <c r="E391" s="96"/>
      <c r="F391" s="96"/>
      <c r="G391" s="96"/>
      <c r="H391" s="96"/>
      <c r="I391" s="96"/>
      <c r="J391" s="96"/>
      <c r="K391" s="96"/>
      <c r="L391" s="96"/>
      <c r="M391" s="96"/>
      <c r="N391" s="96"/>
      <c r="O391" s="96"/>
      <c r="P391" s="96"/>
      <c r="Q391" s="96"/>
      <c r="R391" s="96"/>
      <c r="S391" s="96"/>
      <c r="T391" s="96"/>
      <c r="U391" s="96"/>
      <c r="V391" s="96"/>
      <c r="W391" s="96"/>
      <c r="X391" s="96"/>
      <c r="Y391" s="96"/>
      <c r="Z391" s="96"/>
      <c r="AA391" s="96"/>
      <c r="AB391" s="96"/>
      <c r="AC391" s="96"/>
    </row>
    <row r="392" spans="1:31" ht="14.1" customHeight="1" x14ac:dyDescent="0.2">
      <c r="A392" s="96"/>
      <c r="B392" s="96"/>
      <c r="C392" s="96"/>
      <c r="D392" s="96"/>
      <c r="E392" s="96"/>
      <c r="F392" s="96"/>
      <c r="G392" s="96"/>
      <c r="H392" s="96"/>
      <c r="I392" s="96"/>
      <c r="J392" s="96"/>
      <c r="K392" s="96"/>
      <c r="L392" s="96"/>
      <c r="M392" s="96"/>
      <c r="N392" s="96"/>
      <c r="O392" s="96"/>
      <c r="P392" s="96"/>
      <c r="Q392" s="96"/>
      <c r="R392" s="96"/>
      <c r="S392" s="96"/>
      <c r="T392" s="96"/>
      <c r="U392" s="96"/>
      <c r="V392" s="96"/>
      <c r="W392" s="96"/>
      <c r="X392" s="96"/>
      <c r="Y392" s="96"/>
      <c r="Z392" s="96"/>
      <c r="AA392" s="96"/>
      <c r="AB392" s="96"/>
      <c r="AC392" s="96"/>
    </row>
    <row r="393" spans="1:31" ht="14.1" customHeight="1" x14ac:dyDescent="0.2"/>
    <row r="394" spans="1:31" ht="14.1" customHeight="1" x14ac:dyDescent="0.2">
      <c r="A394" s="97" t="s">
        <v>100</v>
      </c>
      <c r="B394" s="98"/>
      <c r="C394" s="98"/>
      <c r="D394" s="98"/>
      <c r="E394" s="98"/>
      <c r="F394" s="98"/>
      <c r="G394" s="98"/>
      <c r="H394" s="98"/>
      <c r="I394" s="98"/>
      <c r="J394" s="98"/>
      <c r="K394" s="98"/>
      <c r="L394" s="98"/>
      <c r="M394" s="98"/>
      <c r="N394" s="98"/>
      <c r="O394" s="98"/>
      <c r="P394" s="98"/>
      <c r="Q394" s="98"/>
      <c r="R394" s="98"/>
      <c r="S394" s="98"/>
      <c r="T394" s="98"/>
      <c r="U394" s="98"/>
      <c r="V394" s="98"/>
      <c r="W394" s="98"/>
      <c r="X394" s="98"/>
      <c r="Y394" s="98"/>
      <c r="Z394" s="98"/>
      <c r="AA394" s="98"/>
      <c r="AB394" s="98"/>
      <c r="AC394" s="98"/>
    </row>
    <row r="395" spans="1:31" ht="14.1" customHeight="1" x14ac:dyDescent="0.2">
      <c r="A395" s="98"/>
      <c r="B395" s="98"/>
      <c r="C395" s="98"/>
      <c r="D395" s="98"/>
      <c r="E395" s="98"/>
      <c r="F395" s="98"/>
      <c r="G395" s="98"/>
      <c r="H395" s="98"/>
      <c r="I395" s="98"/>
      <c r="J395" s="98"/>
      <c r="K395" s="98"/>
      <c r="L395" s="98"/>
      <c r="M395" s="98"/>
      <c r="N395" s="98"/>
      <c r="O395" s="98"/>
      <c r="P395" s="98"/>
      <c r="Q395" s="98"/>
      <c r="R395" s="98"/>
      <c r="S395" s="98"/>
      <c r="T395" s="98"/>
      <c r="U395" s="98"/>
      <c r="V395" s="98"/>
      <c r="W395" s="98"/>
      <c r="X395" s="98"/>
      <c r="Y395" s="98"/>
      <c r="Z395" s="98"/>
      <c r="AA395" s="98"/>
      <c r="AB395" s="98"/>
      <c r="AC395" s="98"/>
    </row>
    <row r="396" spans="1:31" ht="14.1" customHeight="1" x14ac:dyDescent="0.2">
      <c r="A396" s="98"/>
      <c r="B396" s="98"/>
      <c r="C396" s="98"/>
      <c r="D396" s="98"/>
      <c r="E396" s="98"/>
      <c r="F396" s="98"/>
      <c r="G396" s="98"/>
      <c r="H396" s="98"/>
      <c r="I396" s="98"/>
      <c r="J396" s="98"/>
      <c r="K396" s="98"/>
      <c r="L396" s="98"/>
      <c r="M396" s="98"/>
      <c r="N396" s="98"/>
      <c r="O396" s="98"/>
      <c r="P396" s="98"/>
      <c r="Q396" s="98"/>
      <c r="R396" s="98"/>
      <c r="S396" s="98"/>
      <c r="T396" s="98"/>
      <c r="U396" s="98"/>
      <c r="V396" s="98"/>
      <c r="W396" s="98"/>
      <c r="X396" s="98"/>
      <c r="Y396" s="98"/>
      <c r="Z396" s="98"/>
      <c r="AA396" s="98"/>
      <c r="AB396" s="98"/>
      <c r="AC396" s="98"/>
    </row>
    <row r="397" spans="1:31" ht="14.1" customHeight="1" x14ac:dyDescent="0.2">
      <c r="A397" s="98"/>
      <c r="B397" s="98"/>
      <c r="C397" s="98"/>
      <c r="D397" s="98"/>
      <c r="E397" s="98"/>
      <c r="F397" s="98"/>
      <c r="G397" s="98"/>
      <c r="H397" s="98"/>
      <c r="I397" s="98"/>
      <c r="J397" s="98"/>
      <c r="K397" s="98"/>
      <c r="L397" s="98"/>
      <c r="M397" s="98"/>
      <c r="N397" s="98"/>
      <c r="O397" s="98"/>
      <c r="P397" s="98"/>
      <c r="Q397" s="98"/>
      <c r="R397" s="98"/>
      <c r="S397" s="98"/>
      <c r="T397" s="98"/>
      <c r="U397" s="98"/>
      <c r="V397" s="98"/>
      <c r="W397" s="98"/>
      <c r="X397" s="98"/>
      <c r="Y397" s="98"/>
      <c r="Z397" s="98"/>
      <c r="AA397" s="98"/>
      <c r="AB397" s="98"/>
      <c r="AC397" s="98"/>
    </row>
    <row r="398" spans="1:31" ht="14.1" customHeight="1" x14ac:dyDescent="0.2">
      <c r="A398" s="98"/>
      <c r="B398" s="98"/>
      <c r="C398" s="98"/>
      <c r="D398" s="98"/>
      <c r="E398" s="98"/>
      <c r="F398" s="98"/>
      <c r="G398" s="98"/>
      <c r="H398" s="98"/>
      <c r="I398" s="98"/>
      <c r="J398" s="98"/>
      <c r="K398" s="98"/>
      <c r="L398" s="98"/>
      <c r="M398" s="98"/>
      <c r="N398" s="98"/>
      <c r="O398" s="98"/>
      <c r="P398" s="98"/>
      <c r="Q398" s="98"/>
      <c r="R398" s="98"/>
      <c r="S398" s="98"/>
      <c r="T398" s="98"/>
      <c r="U398" s="98"/>
      <c r="V398" s="98"/>
      <c r="W398" s="98"/>
      <c r="X398" s="98"/>
      <c r="Y398" s="98"/>
      <c r="Z398" s="98"/>
      <c r="AA398" s="98"/>
      <c r="AB398" s="98"/>
      <c r="AC398" s="98"/>
    </row>
    <row r="399" spans="1:31" ht="14.1" customHeight="1" x14ac:dyDescent="0.2">
      <c r="A399" s="98"/>
      <c r="B399" s="98"/>
      <c r="C399" s="98"/>
      <c r="D399" s="98"/>
      <c r="E399" s="98"/>
      <c r="F399" s="98"/>
      <c r="G399" s="98"/>
      <c r="H399" s="98"/>
      <c r="I399" s="98"/>
      <c r="J399" s="98"/>
      <c r="K399" s="98"/>
      <c r="L399" s="98"/>
      <c r="M399" s="98"/>
      <c r="N399" s="98"/>
      <c r="O399" s="98"/>
      <c r="P399" s="98"/>
      <c r="Q399" s="98"/>
      <c r="R399" s="98"/>
      <c r="S399" s="98"/>
      <c r="T399" s="98"/>
      <c r="U399" s="98"/>
      <c r="V399" s="98"/>
      <c r="W399" s="98"/>
      <c r="X399" s="98"/>
      <c r="Y399" s="98"/>
      <c r="Z399" s="98"/>
      <c r="AA399" s="98"/>
      <c r="AB399" s="98"/>
      <c r="AC399" s="98"/>
    </row>
    <row r="400" spans="1:31" ht="14.1" customHeight="1" x14ac:dyDescent="0.2">
      <c r="A400" s="98"/>
      <c r="B400" s="98"/>
      <c r="C400" s="98"/>
      <c r="D400" s="98"/>
      <c r="E400" s="98"/>
      <c r="F400" s="98"/>
      <c r="G400" s="98"/>
      <c r="H400" s="98"/>
      <c r="I400" s="98"/>
      <c r="J400" s="98"/>
      <c r="K400" s="98"/>
      <c r="L400" s="98"/>
      <c r="M400" s="98"/>
      <c r="N400" s="98"/>
      <c r="O400" s="98"/>
      <c r="P400" s="98"/>
      <c r="Q400" s="98"/>
      <c r="R400" s="98"/>
      <c r="S400" s="98"/>
      <c r="T400" s="98"/>
      <c r="U400" s="98"/>
      <c r="V400" s="98"/>
      <c r="W400" s="98"/>
      <c r="X400" s="98"/>
      <c r="Y400" s="98"/>
      <c r="Z400" s="98"/>
      <c r="AA400" s="98"/>
      <c r="AB400" s="98"/>
      <c r="AC400" s="98"/>
    </row>
    <row r="401" spans="1:36" ht="14.1" customHeight="1" x14ac:dyDescent="0.2">
      <c r="A401" s="98"/>
      <c r="B401" s="98"/>
      <c r="C401" s="98"/>
      <c r="D401" s="98"/>
      <c r="E401" s="98"/>
      <c r="F401" s="98"/>
      <c r="G401" s="98"/>
      <c r="H401" s="98"/>
      <c r="I401" s="98"/>
      <c r="J401" s="98"/>
      <c r="K401" s="98"/>
      <c r="L401" s="98"/>
      <c r="M401" s="98"/>
      <c r="N401" s="98"/>
      <c r="O401" s="98"/>
      <c r="P401" s="98"/>
      <c r="Q401" s="98"/>
      <c r="R401" s="98"/>
      <c r="S401" s="98"/>
      <c r="T401" s="98"/>
      <c r="U401" s="98"/>
      <c r="V401" s="98"/>
      <c r="W401" s="98"/>
      <c r="X401" s="98"/>
      <c r="Y401" s="98"/>
      <c r="Z401" s="98"/>
      <c r="AA401" s="98"/>
      <c r="AB401" s="98"/>
      <c r="AC401" s="98"/>
    </row>
    <row r="402" spans="1:36" ht="24.95" customHeight="1" x14ac:dyDescent="0.25">
      <c r="A402" s="89" t="s">
        <v>103</v>
      </c>
      <c r="B402" s="90"/>
      <c r="C402" s="90"/>
      <c r="D402" s="90"/>
      <c r="E402" s="90"/>
      <c r="F402" s="90"/>
      <c r="G402" s="90"/>
      <c r="H402" s="90"/>
      <c r="I402" s="90"/>
      <c r="J402" s="90"/>
      <c r="K402" s="90"/>
      <c r="L402" s="90"/>
      <c r="M402" s="90"/>
      <c r="N402" s="90"/>
      <c r="O402" s="90"/>
      <c r="P402" s="90"/>
      <c r="Q402" s="90"/>
      <c r="R402" s="90"/>
      <c r="S402" s="90"/>
      <c r="T402" s="90"/>
      <c r="U402" s="90"/>
      <c r="V402" s="90"/>
      <c r="W402" s="90"/>
      <c r="X402" s="90"/>
      <c r="Y402" s="90"/>
      <c r="Z402" s="90"/>
      <c r="AA402" s="90"/>
      <c r="AB402" s="90"/>
      <c r="AC402" s="90"/>
      <c r="AD402" s="90"/>
      <c r="AE402" s="90"/>
      <c r="AF402" s="90"/>
      <c r="AG402" s="90"/>
      <c r="AH402" s="90"/>
      <c r="AI402" s="90"/>
      <c r="AJ402" s="90"/>
    </row>
    <row r="403" spans="1:36" ht="120" customHeight="1" x14ac:dyDescent="0.2">
      <c r="A403" s="91" t="s">
        <v>139</v>
      </c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</row>
    <row r="404" spans="1:36" ht="14.1" customHeight="1" x14ac:dyDescent="0.2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</row>
    <row r="405" spans="1:36" ht="14.1" customHeight="1" x14ac:dyDescent="0.2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</row>
    <row r="406" spans="1:36" ht="14.1" customHeight="1" thickBot="1" x14ac:dyDescent="0.2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</row>
    <row r="407" spans="1:36" ht="99" customHeight="1" x14ac:dyDescent="0.2">
      <c r="A407" s="73" t="s">
        <v>1</v>
      </c>
      <c r="B407" s="93" t="s">
        <v>39</v>
      </c>
      <c r="C407" s="94"/>
      <c r="D407" s="94"/>
      <c r="E407" s="94"/>
      <c r="F407" s="94"/>
      <c r="G407" s="94"/>
      <c r="H407" s="95"/>
      <c r="I407" s="93" t="s">
        <v>93</v>
      </c>
      <c r="J407" s="94"/>
      <c r="K407" s="95"/>
      <c r="L407" s="93" t="s">
        <v>94</v>
      </c>
      <c r="M407" s="94"/>
      <c r="N407" s="95"/>
      <c r="O407" s="93" t="s">
        <v>95</v>
      </c>
      <c r="P407" s="94"/>
      <c r="Q407" s="95"/>
      <c r="R407" s="66"/>
      <c r="S407" s="67"/>
      <c r="T407" s="65"/>
      <c r="U407" s="65"/>
      <c r="V407" s="65"/>
      <c r="W407" s="65"/>
      <c r="X407" s="65"/>
      <c r="Y407" s="65"/>
      <c r="Z407" s="65"/>
      <c r="AA407" s="65"/>
      <c r="AB407" s="65"/>
      <c r="AC407" s="65"/>
      <c r="AD407" s="65"/>
      <c r="AE407" s="65"/>
      <c r="AF407" s="68"/>
      <c r="AG407" s="68"/>
      <c r="AH407" s="68"/>
      <c r="AI407" s="68"/>
      <c r="AJ407" s="68"/>
    </row>
    <row r="408" spans="1:36" ht="14.1" customHeight="1" x14ac:dyDescent="0.2">
      <c r="A408" s="69" t="s">
        <v>2</v>
      </c>
      <c r="B408" s="69">
        <v>1</v>
      </c>
      <c r="C408" s="69">
        <v>2</v>
      </c>
      <c r="D408" s="69">
        <v>3</v>
      </c>
      <c r="E408" s="69">
        <v>4</v>
      </c>
      <c r="F408" s="69">
        <v>5</v>
      </c>
      <c r="G408" s="69">
        <v>6</v>
      </c>
      <c r="H408" s="69">
        <v>7</v>
      </c>
      <c r="I408" s="69">
        <v>8</v>
      </c>
      <c r="J408" s="69">
        <v>9</v>
      </c>
      <c r="K408" s="69">
        <v>10</v>
      </c>
      <c r="L408" s="69">
        <v>11</v>
      </c>
      <c r="M408" s="69">
        <v>12</v>
      </c>
      <c r="N408" s="69">
        <v>13</v>
      </c>
      <c r="O408" s="69">
        <v>14</v>
      </c>
      <c r="P408" s="69">
        <v>15</v>
      </c>
      <c r="Q408" s="69">
        <v>16</v>
      </c>
      <c r="R408" s="69" t="s">
        <v>4</v>
      </c>
      <c r="S408" s="72" t="s">
        <v>17</v>
      </c>
      <c r="T408" s="64"/>
      <c r="U408" s="64"/>
      <c r="V408" s="64"/>
      <c r="W408" s="64"/>
      <c r="X408" s="64"/>
      <c r="Y408" s="64"/>
      <c r="Z408" s="64"/>
      <c r="AA408" s="64"/>
      <c r="AB408" s="64"/>
      <c r="AC408" s="64"/>
      <c r="AD408" s="64"/>
      <c r="AE408" s="64"/>
    </row>
    <row r="409" spans="1:36" ht="14.1" customHeight="1" x14ac:dyDescent="0.2">
      <c r="A409" s="69" t="s">
        <v>3</v>
      </c>
      <c r="B409" s="69">
        <v>1</v>
      </c>
      <c r="C409" s="69">
        <v>1</v>
      </c>
      <c r="D409" s="69">
        <v>1</v>
      </c>
      <c r="E409" s="69">
        <v>1</v>
      </c>
      <c r="F409" s="69">
        <v>1</v>
      </c>
      <c r="G409" s="69">
        <v>1</v>
      </c>
      <c r="H409" s="69">
        <v>3</v>
      </c>
      <c r="I409" s="69">
        <v>1</v>
      </c>
      <c r="J409" s="69">
        <v>1</v>
      </c>
      <c r="K409" s="69">
        <v>1</v>
      </c>
      <c r="L409" s="69">
        <v>1</v>
      </c>
      <c r="M409" s="69">
        <v>1</v>
      </c>
      <c r="N409" s="69">
        <v>1</v>
      </c>
      <c r="O409" s="69">
        <v>1</v>
      </c>
      <c r="P409" s="69">
        <v>1</v>
      </c>
      <c r="Q409" s="69">
        <v>1</v>
      </c>
      <c r="R409" s="69">
        <v>18</v>
      </c>
      <c r="S409" s="72"/>
      <c r="T409" s="64"/>
      <c r="U409" s="64"/>
      <c r="V409" s="64"/>
      <c r="W409" s="64"/>
      <c r="X409" s="64"/>
      <c r="Y409" s="64"/>
      <c r="Z409" s="64"/>
      <c r="AA409" s="64"/>
      <c r="AB409" s="64"/>
      <c r="AC409" s="64"/>
      <c r="AD409" s="64"/>
      <c r="AE409" s="64"/>
    </row>
    <row r="410" spans="1:36" ht="14.1" customHeight="1" thickBot="1" x14ac:dyDescent="0.25">
      <c r="A410" s="70" t="s">
        <v>92</v>
      </c>
      <c r="B410" s="70">
        <v>0</v>
      </c>
      <c r="C410" s="70">
        <v>1</v>
      </c>
      <c r="D410" s="70">
        <v>1</v>
      </c>
      <c r="E410" s="70">
        <v>1</v>
      </c>
      <c r="F410" s="70">
        <v>1</v>
      </c>
      <c r="G410" s="70">
        <v>1</v>
      </c>
      <c r="H410" s="70">
        <v>3</v>
      </c>
      <c r="I410" s="70">
        <v>1</v>
      </c>
      <c r="J410" s="70">
        <v>1</v>
      </c>
      <c r="K410" s="70">
        <v>1</v>
      </c>
      <c r="L410" s="70">
        <v>1</v>
      </c>
      <c r="M410" s="70">
        <v>0</v>
      </c>
      <c r="N410" s="70">
        <v>1</v>
      </c>
      <c r="O410" s="70">
        <v>1</v>
      </c>
      <c r="P410" s="70">
        <v>1</v>
      </c>
      <c r="Q410" s="70">
        <v>1</v>
      </c>
      <c r="R410" s="70">
        <v>16</v>
      </c>
      <c r="S410" s="71">
        <v>0.88888888888888884</v>
      </c>
      <c r="T410" s="64"/>
      <c r="U410" s="64"/>
      <c r="V410" s="64"/>
      <c r="W410" s="64"/>
      <c r="X410" s="64"/>
      <c r="Y410" s="64"/>
      <c r="Z410" s="64"/>
      <c r="AA410" s="64"/>
      <c r="AB410" s="64"/>
      <c r="AC410" s="64"/>
      <c r="AD410" s="64"/>
      <c r="AE410" s="64"/>
    </row>
    <row r="411" spans="1:36" ht="14.1" customHeight="1" x14ac:dyDescent="0.2"/>
    <row r="412" spans="1:36" ht="23.25" customHeight="1" x14ac:dyDescent="0.25">
      <c r="A412" s="74" t="s">
        <v>123</v>
      </c>
    </row>
    <row r="413" spans="1:36" ht="14.1" customHeight="1" x14ac:dyDescent="0.2"/>
    <row r="414" spans="1:36" ht="14.1" customHeight="1" x14ac:dyDescent="0.2">
      <c r="A414" s="91" t="s">
        <v>99</v>
      </c>
      <c r="B414" s="96"/>
      <c r="C414" s="96"/>
      <c r="D414" s="96"/>
      <c r="E414" s="96"/>
      <c r="F414" s="96"/>
      <c r="G414" s="96"/>
      <c r="H414" s="96"/>
      <c r="I414" s="96"/>
      <c r="J414" s="96"/>
      <c r="K414" s="96"/>
      <c r="L414" s="96"/>
      <c r="M414" s="96"/>
      <c r="N414" s="96"/>
      <c r="O414" s="96"/>
      <c r="P414" s="96"/>
      <c r="Q414" s="96"/>
      <c r="R414" s="96"/>
      <c r="S414" s="96"/>
      <c r="T414" s="96"/>
      <c r="U414" s="96"/>
      <c r="V414" s="96"/>
      <c r="W414" s="96"/>
      <c r="X414" s="96"/>
      <c r="Y414" s="96"/>
      <c r="Z414" s="96"/>
      <c r="AA414" s="96"/>
      <c r="AB414" s="96"/>
      <c r="AC414" s="96"/>
    </row>
    <row r="415" spans="1:36" ht="14.1" customHeight="1" x14ac:dyDescent="0.2">
      <c r="A415" s="96"/>
      <c r="B415" s="96"/>
      <c r="C415" s="96"/>
      <c r="D415" s="96"/>
      <c r="E415" s="96"/>
      <c r="F415" s="96"/>
      <c r="G415" s="96"/>
      <c r="H415" s="96"/>
      <c r="I415" s="96"/>
      <c r="J415" s="96"/>
      <c r="K415" s="96"/>
      <c r="L415" s="96"/>
      <c r="M415" s="96"/>
      <c r="N415" s="96"/>
      <c r="O415" s="96"/>
      <c r="P415" s="96"/>
      <c r="Q415" s="96"/>
      <c r="R415" s="96"/>
      <c r="S415" s="96"/>
      <c r="T415" s="96"/>
      <c r="U415" s="96"/>
      <c r="V415" s="96"/>
      <c r="W415" s="96"/>
      <c r="X415" s="96"/>
      <c r="Y415" s="96"/>
      <c r="Z415" s="96"/>
      <c r="AA415" s="96"/>
      <c r="AB415" s="96"/>
      <c r="AC415" s="96"/>
    </row>
    <row r="416" spans="1:36" ht="14.1" customHeight="1" x14ac:dyDescent="0.2">
      <c r="A416" s="96"/>
      <c r="B416" s="96"/>
      <c r="C416" s="96"/>
      <c r="D416" s="96"/>
      <c r="E416" s="96"/>
      <c r="F416" s="96"/>
      <c r="G416" s="96"/>
      <c r="H416" s="96"/>
      <c r="I416" s="96"/>
      <c r="J416" s="96"/>
      <c r="K416" s="96"/>
      <c r="L416" s="96"/>
      <c r="M416" s="96"/>
      <c r="N416" s="96"/>
      <c r="O416" s="96"/>
      <c r="P416" s="96"/>
      <c r="Q416" s="96"/>
      <c r="R416" s="96"/>
      <c r="S416" s="96"/>
      <c r="T416" s="96"/>
      <c r="U416" s="96"/>
      <c r="V416" s="96"/>
      <c r="W416" s="96"/>
      <c r="X416" s="96"/>
      <c r="Y416" s="96"/>
      <c r="Z416" s="96"/>
      <c r="AA416" s="96"/>
      <c r="AB416" s="96"/>
      <c r="AC416" s="96"/>
    </row>
    <row r="417" spans="1:36" ht="14.1" customHeight="1" x14ac:dyDescent="0.2">
      <c r="A417" s="96"/>
      <c r="B417" s="96"/>
      <c r="C417" s="96"/>
      <c r="D417" s="96"/>
      <c r="E417" s="96"/>
      <c r="F417" s="96"/>
      <c r="G417" s="96"/>
      <c r="H417" s="96"/>
      <c r="I417" s="96"/>
      <c r="J417" s="96"/>
      <c r="K417" s="96"/>
      <c r="L417" s="96"/>
      <c r="M417" s="96"/>
      <c r="N417" s="96"/>
      <c r="O417" s="96"/>
      <c r="P417" s="96"/>
      <c r="Q417" s="96"/>
      <c r="R417" s="96"/>
      <c r="S417" s="96"/>
      <c r="T417" s="96"/>
      <c r="U417" s="96"/>
      <c r="V417" s="96"/>
      <c r="W417" s="96"/>
      <c r="X417" s="96"/>
      <c r="Y417" s="96"/>
      <c r="Z417" s="96"/>
      <c r="AA417" s="96"/>
      <c r="AB417" s="96"/>
      <c r="AC417" s="96"/>
    </row>
    <row r="418" spans="1:36" ht="14.1" customHeight="1" x14ac:dyDescent="0.2"/>
    <row r="419" spans="1:36" ht="14.1" customHeight="1" x14ac:dyDescent="0.2">
      <c r="A419" s="97" t="s">
        <v>100</v>
      </c>
      <c r="B419" s="98"/>
      <c r="C419" s="98"/>
      <c r="D419" s="98"/>
      <c r="E419" s="98"/>
      <c r="F419" s="98"/>
      <c r="G419" s="98"/>
      <c r="H419" s="98"/>
      <c r="I419" s="98"/>
      <c r="J419" s="98"/>
      <c r="K419" s="98"/>
      <c r="L419" s="98"/>
      <c r="M419" s="98"/>
      <c r="N419" s="98"/>
      <c r="O419" s="98"/>
      <c r="P419" s="98"/>
      <c r="Q419" s="98"/>
      <c r="R419" s="98"/>
      <c r="S419" s="98"/>
      <c r="T419" s="98"/>
      <c r="U419" s="98"/>
      <c r="V419" s="98"/>
      <c r="W419" s="98"/>
      <c r="X419" s="98"/>
      <c r="Y419" s="98"/>
      <c r="Z419" s="98"/>
      <c r="AA419" s="98"/>
      <c r="AB419" s="98"/>
      <c r="AC419" s="98"/>
    </row>
    <row r="420" spans="1:36" ht="14.1" customHeight="1" x14ac:dyDescent="0.2">
      <c r="A420" s="98"/>
      <c r="B420" s="98"/>
      <c r="C420" s="98"/>
      <c r="D420" s="98"/>
      <c r="E420" s="98"/>
      <c r="F420" s="98"/>
      <c r="G420" s="98"/>
      <c r="H420" s="98"/>
      <c r="I420" s="98"/>
      <c r="J420" s="98"/>
      <c r="K420" s="98"/>
      <c r="L420" s="98"/>
      <c r="M420" s="98"/>
      <c r="N420" s="98"/>
      <c r="O420" s="98"/>
      <c r="P420" s="98"/>
      <c r="Q420" s="98"/>
      <c r="R420" s="98"/>
      <c r="S420" s="98"/>
      <c r="T420" s="98"/>
      <c r="U420" s="98"/>
      <c r="V420" s="98"/>
      <c r="W420" s="98"/>
      <c r="X420" s="98"/>
      <c r="Y420" s="98"/>
      <c r="Z420" s="98"/>
      <c r="AA420" s="98"/>
      <c r="AB420" s="98"/>
      <c r="AC420" s="98"/>
    </row>
    <row r="421" spans="1:36" ht="14.1" customHeight="1" x14ac:dyDescent="0.2">
      <c r="A421" s="98"/>
      <c r="B421" s="98"/>
      <c r="C421" s="98"/>
      <c r="D421" s="98"/>
      <c r="E421" s="98"/>
      <c r="F421" s="98"/>
      <c r="G421" s="98"/>
      <c r="H421" s="98"/>
      <c r="I421" s="98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98"/>
      <c r="V421" s="98"/>
      <c r="W421" s="98"/>
      <c r="X421" s="98"/>
      <c r="Y421" s="98"/>
      <c r="Z421" s="98"/>
      <c r="AA421" s="98"/>
      <c r="AB421" s="98"/>
      <c r="AC421" s="98"/>
    </row>
    <row r="422" spans="1:36" ht="14.1" customHeight="1" x14ac:dyDescent="0.2">
      <c r="A422" s="98"/>
      <c r="B422" s="98"/>
      <c r="C422" s="98"/>
      <c r="D422" s="98"/>
      <c r="E422" s="98"/>
      <c r="F422" s="98"/>
      <c r="G422" s="98"/>
      <c r="H422" s="98"/>
      <c r="I422" s="98"/>
      <c r="J422" s="98"/>
      <c r="K422" s="98"/>
      <c r="L422" s="98"/>
      <c r="M422" s="98"/>
      <c r="N422" s="98"/>
      <c r="O422" s="98"/>
      <c r="P422" s="98"/>
      <c r="Q422" s="98"/>
      <c r="R422" s="98"/>
      <c r="S422" s="98"/>
      <c r="T422" s="98"/>
      <c r="U422" s="98"/>
      <c r="V422" s="98"/>
      <c r="W422" s="98"/>
      <c r="X422" s="98"/>
      <c r="Y422" s="98"/>
      <c r="Z422" s="98"/>
      <c r="AA422" s="98"/>
      <c r="AB422" s="98"/>
      <c r="AC422" s="98"/>
    </row>
    <row r="423" spans="1:36" ht="14.1" customHeight="1" x14ac:dyDescent="0.2">
      <c r="A423" s="98"/>
      <c r="B423" s="98"/>
      <c r="C423" s="98"/>
      <c r="D423" s="98"/>
      <c r="E423" s="98"/>
      <c r="F423" s="98"/>
      <c r="G423" s="98"/>
      <c r="H423" s="98"/>
      <c r="I423" s="98"/>
      <c r="J423" s="98"/>
      <c r="K423" s="98"/>
      <c r="L423" s="98"/>
      <c r="M423" s="98"/>
      <c r="N423" s="98"/>
      <c r="O423" s="98"/>
      <c r="P423" s="98"/>
      <c r="Q423" s="98"/>
      <c r="R423" s="98"/>
      <c r="S423" s="98"/>
      <c r="T423" s="98"/>
      <c r="U423" s="98"/>
      <c r="V423" s="98"/>
      <c r="W423" s="98"/>
      <c r="X423" s="98"/>
      <c r="Y423" s="98"/>
      <c r="Z423" s="98"/>
      <c r="AA423" s="98"/>
      <c r="AB423" s="98"/>
      <c r="AC423" s="98"/>
    </row>
    <row r="424" spans="1:36" ht="14.1" customHeight="1" x14ac:dyDescent="0.2">
      <c r="A424" s="98"/>
      <c r="B424" s="98"/>
      <c r="C424" s="98"/>
      <c r="D424" s="98"/>
      <c r="E424" s="98"/>
      <c r="F424" s="98"/>
      <c r="G424" s="98"/>
      <c r="H424" s="98"/>
      <c r="I424" s="98"/>
      <c r="J424" s="98"/>
      <c r="K424" s="98"/>
      <c r="L424" s="98"/>
      <c r="M424" s="98"/>
      <c r="N424" s="98"/>
      <c r="O424" s="98"/>
      <c r="P424" s="98"/>
      <c r="Q424" s="98"/>
      <c r="R424" s="98"/>
      <c r="S424" s="98"/>
      <c r="T424" s="98"/>
      <c r="U424" s="98"/>
      <c r="V424" s="98"/>
      <c r="W424" s="98"/>
      <c r="X424" s="98"/>
      <c r="Y424" s="98"/>
      <c r="Z424" s="98"/>
      <c r="AA424" s="98"/>
      <c r="AB424" s="98"/>
      <c r="AC424" s="98"/>
    </row>
    <row r="425" spans="1:36" ht="14.1" customHeight="1" x14ac:dyDescent="0.2">
      <c r="A425" s="98"/>
      <c r="B425" s="98"/>
      <c r="C425" s="98"/>
      <c r="D425" s="98"/>
      <c r="E425" s="98"/>
      <c r="F425" s="98"/>
      <c r="G425" s="98"/>
      <c r="H425" s="98"/>
      <c r="I425" s="98"/>
      <c r="J425" s="98"/>
      <c r="K425" s="98"/>
      <c r="L425" s="98"/>
      <c r="M425" s="98"/>
      <c r="N425" s="98"/>
      <c r="O425" s="98"/>
      <c r="P425" s="98"/>
      <c r="Q425" s="98"/>
      <c r="R425" s="98"/>
      <c r="S425" s="98"/>
      <c r="T425" s="98"/>
      <c r="U425" s="98"/>
      <c r="V425" s="98"/>
      <c r="W425" s="98"/>
      <c r="X425" s="98"/>
      <c r="Y425" s="98"/>
      <c r="Z425" s="98"/>
      <c r="AA425" s="98"/>
      <c r="AB425" s="98"/>
      <c r="AC425" s="98"/>
    </row>
    <row r="426" spans="1:36" ht="14.1" customHeight="1" x14ac:dyDescent="0.2">
      <c r="A426" s="98"/>
      <c r="B426" s="98"/>
      <c r="C426" s="98"/>
      <c r="D426" s="98"/>
      <c r="E426" s="98"/>
      <c r="F426" s="98"/>
      <c r="G426" s="98"/>
      <c r="H426" s="98"/>
      <c r="I426" s="98"/>
      <c r="J426" s="98"/>
      <c r="K426" s="98"/>
      <c r="L426" s="98"/>
      <c r="M426" s="98"/>
      <c r="N426" s="98"/>
      <c r="O426" s="98"/>
      <c r="P426" s="98"/>
      <c r="Q426" s="98"/>
      <c r="R426" s="98"/>
      <c r="S426" s="98"/>
      <c r="T426" s="98"/>
      <c r="U426" s="98"/>
      <c r="V426" s="98"/>
      <c r="W426" s="98"/>
      <c r="X426" s="98"/>
      <c r="Y426" s="98"/>
      <c r="Z426" s="98"/>
      <c r="AA426" s="98"/>
      <c r="AB426" s="98"/>
      <c r="AC426" s="98"/>
    </row>
    <row r="427" spans="1:36" ht="24.95" customHeight="1" x14ac:dyDescent="0.25">
      <c r="A427" s="89" t="s">
        <v>103</v>
      </c>
      <c r="B427" s="90"/>
      <c r="C427" s="90"/>
      <c r="D427" s="90"/>
      <c r="E427" s="90"/>
      <c r="F427" s="90"/>
      <c r="G427" s="90"/>
      <c r="H427" s="90"/>
      <c r="I427" s="90"/>
      <c r="J427" s="90"/>
      <c r="K427" s="90"/>
      <c r="L427" s="90"/>
      <c r="M427" s="90"/>
      <c r="N427" s="90"/>
      <c r="O427" s="90"/>
      <c r="P427" s="90"/>
      <c r="Q427" s="90"/>
      <c r="R427" s="90"/>
      <c r="S427" s="90"/>
      <c r="T427" s="90"/>
      <c r="U427" s="90"/>
      <c r="V427" s="90"/>
      <c r="W427" s="90"/>
      <c r="X427" s="90"/>
      <c r="Y427" s="90"/>
      <c r="Z427" s="90"/>
      <c r="AA427" s="90"/>
      <c r="AB427" s="90"/>
      <c r="AC427" s="90"/>
      <c r="AD427" s="90"/>
      <c r="AE427" s="90"/>
      <c r="AF427" s="90"/>
      <c r="AG427" s="90"/>
      <c r="AH427" s="90"/>
      <c r="AI427" s="90"/>
      <c r="AJ427" s="90"/>
    </row>
    <row r="428" spans="1:36" ht="120" customHeight="1" x14ac:dyDescent="0.2">
      <c r="A428" s="91" t="s">
        <v>140</v>
      </c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  <c r="AA428" s="92"/>
      <c r="AB428" s="92"/>
      <c r="AC428" s="92"/>
    </row>
    <row r="429" spans="1:36" ht="14.1" customHeight="1" x14ac:dyDescent="0.2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  <c r="AA429" s="92"/>
      <c r="AB429" s="92"/>
      <c r="AC429" s="92"/>
    </row>
    <row r="430" spans="1:36" ht="14.1" customHeight="1" x14ac:dyDescent="0.2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  <c r="AA430" s="92"/>
      <c r="AB430" s="92"/>
      <c r="AC430" s="92"/>
    </row>
    <row r="431" spans="1:36" ht="14.1" customHeight="1" thickBot="1" x14ac:dyDescent="0.25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  <c r="AA431" s="92"/>
      <c r="AB431" s="92"/>
      <c r="AC431" s="92"/>
    </row>
    <row r="432" spans="1:36" ht="99" customHeight="1" x14ac:dyDescent="0.2">
      <c r="A432" s="73" t="s">
        <v>1</v>
      </c>
      <c r="B432" s="93" t="s">
        <v>39</v>
      </c>
      <c r="C432" s="94"/>
      <c r="D432" s="94"/>
      <c r="E432" s="94"/>
      <c r="F432" s="94"/>
      <c r="G432" s="94"/>
      <c r="H432" s="95"/>
      <c r="I432" s="93" t="s">
        <v>93</v>
      </c>
      <c r="J432" s="94"/>
      <c r="K432" s="95"/>
      <c r="L432" s="93" t="s">
        <v>94</v>
      </c>
      <c r="M432" s="94"/>
      <c r="N432" s="95"/>
      <c r="O432" s="93" t="s">
        <v>95</v>
      </c>
      <c r="P432" s="94"/>
      <c r="Q432" s="95"/>
      <c r="R432" s="66"/>
      <c r="S432" s="67"/>
      <c r="T432" s="65"/>
      <c r="U432" s="65"/>
      <c r="V432" s="65"/>
      <c r="W432" s="65"/>
      <c r="X432" s="65"/>
      <c r="Y432" s="65"/>
      <c r="Z432" s="65"/>
      <c r="AA432" s="65"/>
      <c r="AB432" s="65"/>
      <c r="AC432" s="65"/>
      <c r="AD432" s="65"/>
      <c r="AE432" s="65"/>
      <c r="AF432" s="68"/>
      <c r="AG432" s="68"/>
      <c r="AH432" s="68"/>
      <c r="AI432" s="68"/>
      <c r="AJ432" s="68"/>
    </row>
    <row r="433" spans="1:31" ht="14.1" customHeight="1" x14ac:dyDescent="0.2">
      <c r="A433" s="69" t="s">
        <v>2</v>
      </c>
      <c r="B433" s="69">
        <v>1</v>
      </c>
      <c r="C433" s="69">
        <v>2</v>
      </c>
      <c r="D433" s="69">
        <v>3</v>
      </c>
      <c r="E433" s="69">
        <v>4</v>
      </c>
      <c r="F433" s="69">
        <v>5</v>
      </c>
      <c r="G433" s="69">
        <v>6</v>
      </c>
      <c r="H433" s="69">
        <v>7</v>
      </c>
      <c r="I433" s="69">
        <v>8</v>
      </c>
      <c r="J433" s="69">
        <v>9</v>
      </c>
      <c r="K433" s="69">
        <v>10</v>
      </c>
      <c r="L433" s="69">
        <v>11</v>
      </c>
      <c r="M433" s="69">
        <v>12</v>
      </c>
      <c r="N433" s="69">
        <v>13</v>
      </c>
      <c r="O433" s="69">
        <v>14</v>
      </c>
      <c r="P433" s="69">
        <v>15</v>
      </c>
      <c r="Q433" s="69">
        <v>16</v>
      </c>
      <c r="R433" s="69" t="s">
        <v>4</v>
      </c>
      <c r="S433" s="72" t="s">
        <v>17</v>
      </c>
      <c r="T433" s="64"/>
      <c r="U433" s="64"/>
      <c r="V433" s="64"/>
      <c r="W433" s="64"/>
      <c r="X433" s="64"/>
      <c r="Y433" s="64"/>
      <c r="Z433" s="64"/>
      <c r="AA433" s="64"/>
      <c r="AB433" s="64"/>
      <c r="AC433" s="64"/>
      <c r="AD433" s="64"/>
      <c r="AE433" s="64"/>
    </row>
    <row r="434" spans="1:31" ht="14.1" customHeight="1" x14ac:dyDescent="0.2">
      <c r="A434" s="69" t="s">
        <v>3</v>
      </c>
      <c r="B434" s="69">
        <v>1</v>
      </c>
      <c r="C434" s="69">
        <v>1</v>
      </c>
      <c r="D434" s="69">
        <v>1</v>
      </c>
      <c r="E434" s="69">
        <v>1</v>
      </c>
      <c r="F434" s="69">
        <v>1</v>
      </c>
      <c r="G434" s="69">
        <v>1</v>
      </c>
      <c r="H434" s="69">
        <v>3</v>
      </c>
      <c r="I434" s="69">
        <v>1</v>
      </c>
      <c r="J434" s="69">
        <v>1</v>
      </c>
      <c r="K434" s="69">
        <v>1</v>
      </c>
      <c r="L434" s="69">
        <v>1</v>
      </c>
      <c r="M434" s="69">
        <v>1</v>
      </c>
      <c r="N434" s="69">
        <v>1</v>
      </c>
      <c r="O434" s="69">
        <v>1</v>
      </c>
      <c r="P434" s="69">
        <v>1</v>
      </c>
      <c r="Q434" s="69">
        <v>1</v>
      </c>
      <c r="R434" s="69">
        <v>18</v>
      </c>
      <c r="S434" s="72"/>
      <c r="T434" s="64"/>
      <c r="U434" s="64"/>
      <c r="V434" s="64"/>
      <c r="W434" s="64"/>
      <c r="X434" s="64"/>
      <c r="Y434" s="64"/>
      <c r="Z434" s="64"/>
      <c r="AA434" s="64"/>
      <c r="AB434" s="64"/>
      <c r="AC434" s="64"/>
      <c r="AD434" s="64"/>
      <c r="AE434" s="64"/>
    </row>
    <row r="435" spans="1:31" ht="14.1" customHeight="1" thickBot="1" x14ac:dyDescent="0.25">
      <c r="A435" s="70" t="s">
        <v>92</v>
      </c>
      <c r="B435" s="70">
        <v>1</v>
      </c>
      <c r="C435" s="70">
        <v>1</v>
      </c>
      <c r="D435" s="70">
        <v>1</v>
      </c>
      <c r="E435" s="70">
        <v>1</v>
      </c>
      <c r="F435" s="70">
        <v>1</v>
      </c>
      <c r="G435" s="70">
        <v>1</v>
      </c>
      <c r="H435" s="70">
        <v>3</v>
      </c>
      <c r="I435" s="70">
        <v>1</v>
      </c>
      <c r="J435" s="70">
        <v>1</v>
      </c>
      <c r="K435" s="70">
        <v>1</v>
      </c>
      <c r="L435" s="70">
        <v>1</v>
      </c>
      <c r="M435" s="70">
        <v>1</v>
      </c>
      <c r="N435" s="70">
        <v>1</v>
      </c>
      <c r="O435" s="70">
        <v>1</v>
      </c>
      <c r="P435" s="70">
        <v>1</v>
      </c>
      <c r="Q435" s="70">
        <v>1</v>
      </c>
      <c r="R435" s="70">
        <v>18</v>
      </c>
      <c r="S435" s="71">
        <v>1</v>
      </c>
      <c r="T435" s="64"/>
      <c r="U435" s="64"/>
      <c r="V435" s="64"/>
      <c r="W435" s="64"/>
      <c r="X435" s="64"/>
      <c r="Y435" s="64"/>
      <c r="Z435" s="64"/>
      <c r="AA435" s="64"/>
      <c r="AB435" s="64"/>
      <c r="AC435" s="64"/>
      <c r="AD435" s="64"/>
      <c r="AE435" s="64"/>
    </row>
    <row r="436" spans="1:31" ht="14.1" customHeight="1" x14ac:dyDescent="0.2"/>
    <row r="437" spans="1:31" ht="23.25" customHeight="1" x14ac:dyDescent="0.25">
      <c r="A437" s="74" t="s">
        <v>123</v>
      </c>
    </row>
    <row r="438" spans="1:31" ht="14.1" customHeight="1" x14ac:dyDescent="0.2"/>
    <row r="439" spans="1:31" ht="14.1" customHeight="1" x14ac:dyDescent="0.2">
      <c r="A439" s="91" t="s">
        <v>99</v>
      </c>
      <c r="B439" s="96"/>
      <c r="C439" s="96"/>
      <c r="D439" s="96"/>
      <c r="E439" s="96"/>
      <c r="F439" s="96"/>
      <c r="G439" s="96"/>
      <c r="H439" s="96"/>
      <c r="I439" s="96"/>
      <c r="J439" s="96"/>
      <c r="K439" s="96"/>
      <c r="L439" s="96"/>
      <c r="M439" s="96"/>
      <c r="N439" s="96"/>
      <c r="O439" s="96"/>
      <c r="P439" s="96"/>
      <c r="Q439" s="96"/>
      <c r="R439" s="96"/>
      <c r="S439" s="96"/>
      <c r="T439" s="96"/>
      <c r="U439" s="96"/>
      <c r="V439" s="96"/>
      <c r="W439" s="96"/>
      <c r="X439" s="96"/>
      <c r="Y439" s="96"/>
      <c r="Z439" s="96"/>
      <c r="AA439" s="96"/>
      <c r="AB439" s="96"/>
      <c r="AC439" s="96"/>
    </row>
    <row r="440" spans="1:31" ht="14.1" customHeight="1" x14ac:dyDescent="0.2">
      <c r="A440" s="96"/>
      <c r="B440" s="96"/>
      <c r="C440" s="96"/>
      <c r="D440" s="96"/>
      <c r="E440" s="96"/>
      <c r="F440" s="96"/>
      <c r="G440" s="96"/>
      <c r="H440" s="96"/>
      <c r="I440" s="96"/>
      <c r="J440" s="96"/>
      <c r="K440" s="96"/>
      <c r="L440" s="96"/>
      <c r="M440" s="96"/>
      <c r="N440" s="96"/>
      <c r="O440" s="96"/>
      <c r="P440" s="96"/>
      <c r="Q440" s="96"/>
      <c r="R440" s="96"/>
      <c r="S440" s="96"/>
      <c r="T440" s="96"/>
      <c r="U440" s="96"/>
      <c r="V440" s="96"/>
      <c r="W440" s="96"/>
      <c r="X440" s="96"/>
      <c r="Y440" s="96"/>
      <c r="Z440" s="96"/>
      <c r="AA440" s="96"/>
      <c r="AB440" s="96"/>
      <c r="AC440" s="96"/>
    </row>
    <row r="441" spans="1:31" ht="14.1" customHeight="1" x14ac:dyDescent="0.2">
      <c r="A441" s="96"/>
      <c r="B441" s="96"/>
      <c r="C441" s="96"/>
      <c r="D441" s="96"/>
      <c r="E441" s="96"/>
      <c r="F441" s="96"/>
      <c r="G441" s="96"/>
      <c r="H441" s="96"/>
      <c r="I441" s="96"/>
      <c r="J441" s="96"/>
      <c r="K441" s="96"/>
      <c r="L441" s="96"/>
      <c r="M441" s="96"/>
      <c r="N441" s="96"/>
      <c r="O441" s="96"/>
      <c r="P441" s="96"/>
      <c r="Q441" s="96"/>
      <c r="R441" s="96"/>
      <c r="S441" s="96"/>
      <c r="T441" s="96"/>
      <c r="U441" s="96"/>
      <c r="V441" s="96"/>
      <c r="W441" s="96"/>
      <c r="X441" s="96"/>
      <c r="Y441" s="96"/>
      <c r="Z441" s="96"/>
      <c r="AA441" s="96"/>
      <c r="AB441" s="96"/>
      <c r="AC441" s="96"/>
    </row>
    <row r="442" spans="1:31" ht="14.1" customHeight="1" x14ac:dyDescent="0.2">
      <c r="A442" s="96"/>
      <c r="B442" s="96"/>
      <c r="C442" s="96"/>
      <c r="D442" s="96"/>
      <c r="E442" s="96"/>
      <c r="F442" s="96"/>
      <c r="G442" s="96"/>
      <c r="H442" s="96"/>
      <c r="I442" s="96"/>
      <c r="J442" s="96"/>
      <c r="K442" s="96"/>
      <c r="L442" s="96"/>
      <c r="M442" s="96"/>
      <c r="N442" s="96"/>
      <c r="O442" s="96"/>
      <c r="P442" s="96"/>
      <c r="Q442" s="96"/>
      <c r="R442" s="96"/>
      <c r="S442" s="96"/>
      <c r="T442" s="96"/>
      <c r="U442" s="96"/>
      <c r="V442" s="96"/>
      <c r="W442" s="96"/>
      <c r="X442" s="96"/>
      <c r="Y442" s="96"/>
      <c r="Z442" s="96"/>
      <c r="AA442" s="96"/>
      <c r="AB442" s="96"/>
      <c r="AC442" s="96"/>
    </row>
    <row r="443" spans="1:31" ht="14.1" customHeight="1" x14ac:dyDescent="0.2"/>
    <row r="444" spans="1:31" ht="14.1" customHeight="1" x14ac:dyDescent="0.2">
      <c r="A444" s="97" t="s">
        <v>100</v>
      </c>
      <c r="B444" s="98"/>
      <c r="C444" s="98"/>
      <c r="D444" s="98"/>
      <c r="E444" s="98"/>
      <c r="F444" s="98"/>
      <c r="G444" s="98"/>
      <c r="H444" s="98"/>
      <c r="I444" s="98"/>
      <c r="J444" s="98"/>
      <c r="K444" s="98"/>
      <c r="L444" s="98"/>
      <c r="M444" s="98"/>
      <c r="N444" s="98"/>
      <c r="O444" s="98"/>
      <c r="P444" s="98"/>
      <c r="Q444" s="98"/>
      <c r="R444" s="98"/>
      <c r="S444" s="98"/>
      <c r="T444" s="98"/>
      <c r="U444" s="98"/>
      <c r="V444" s="98"/>
      <c r="W444" s="98"/>
      <c r="X444" s="98"/>
      <c r="Y444" s="98"/>
      <c r="Z444" s="98"/>
      <c r="AA444" s="98"/>
      <c r="AB444" s="98"/>
      <c r="AC444" s="98"/>
    </row>
    <row r="445" spans="1:31" ht="14.1" customHeight="1" x14ac:dyDescent="0.2">
      <c r="A445" s="98"/>
      <c r="B445" s="98"/>
      <c r="C445" s="98"/>
      <c r="D445" s="98"/>
      <c r="E445" s="98"/>
      <c r="F445" s="98"/>
      <c r="G445" s="98"/>
      <c r="H445" s="98"/>
      <c r="I445" s="98"/>
      <c r="J445" s="98"/>
      <c r="K445" s="98"/>
      <c r="L445" s="98"/>
      <c r="M445" s="98"/>
      <c r="N445" s="98"/>
      <c r="O445" s="98"/>
      <c r="P445" s="98"/>
      <c r="Q445" s="98"/>
      <c r="R445" s="98"/>
      <c r="S445" s="98"/>
      <c r="T445" s="98"/>
      <c r="U445" s="98"/>
      <c r="V445" s="98"/>
      <c r="W445" s="98"/>
      <c r="X445" s="98"/>
      <c r="Y445" s="98"/>
      <c r="Z445" s="98"/>
      <c r="AA445" s="98"/>
      <c r="AB445" s="98"/>
      <c r="AC445" s="98"/>
    </row>
    <row r="446" spans="1:31" ht="14.1" customHeight="1" x14ac:dyDescent="0.2">
      <c r="A446" s="98"/>
      <c r="B446" s="98"/>
      <c r="C446" s="98"/>
      <c r="D446" s="98"/>
      <c r="E446" s="98"/>
      <c r="F446" s="98"/>
      <c r="G446" s="98"/>
      <c r="H446" s="98"/>
      <c r="I446" s="98"/>
      <c r="J446" s="98"/>
      <c r="K446" s="98"/>
      <c r="L446" s="98"/>
      <c r="M446" s="98"/>
      <c r="N446" s="98"/>
      <c r="O446" s="98"/>
      <c r="P446" s="98"/>
      <c r="Q446" s="98"/>
      <c r="R446" s="98"/>
      <c r="S446" s="98"/>
      <c r="T446" s="98"/>
      <c r="U446" s="98"/>
      <c r="V446" s="98"/>
      <c r="W446" s="98"/>
      <c r="X446" s="98"/>
      <c r="Y446" s="98"/>
      <c r="Z446" s="98"/>
      <c r="AA446" s="98"/>
      <c r="AB446" s="98"/>
      <c r="AC446" s="98"/>
    </row>
    <row r="447" spans="1:31" ht="14.1" customHeight="1" x14ac:dyDescent="0.2">
      <c r="A447" s="98"/>
      <c r="B447" s="98"/>
      <c r="C447" s="98"/>
      <c r="D447" s="98"/>
      <c r="E447" s="98"/>
      <c r="F447" s="98"/>
      <c r="G447" s="98"/>
      <c r="H447" s="98"/>
      <c r="I447" s="98"/>
      <c r="J447" s="98"/>
      <c r="K447" s="98"/>
      <c r="L447" s="98"/>
      <c r="M447" s="98"/>
      <c r="N447" s="98"/>
      <c r="O447" s="98"/>
      <c r="P447" s="98"/>
      <c r="Q447" s="98"/>
      <c r="R447" s="98"/>
      <c r="S447" s="98"/>
      <c r="T447" s="98"/>
      <c r="U447" s="98"/>
      <c r="V447" s="98"/>
      <c r="W447" s="98"/>
      <c r="X447" s="98"/>
      <c r="Y447" s="98"/>
      <c r="Z447" s="98"/>
      <c r="AA447" s="98"/>
      <c r="AB447" s="98"/>
      <c r="AC447" s="98"/>
    </row>
    <row r="448" spans="1:31" ht="14.1" customHeight="1" x14ac:dyDescent="0.2">
      <c r="A448" s="98"/>
      <c r="B448" s="98"/>
      <c r="C448" s="98"/>
      <c r="D448" s="98"/>
      <c r="E448" s="98"/>
      <c r="F448" s="98"/>
      <c r="G448" s="98"/>
      <c r="H448" s="98"/>
      <c r="I448" s="98"/>
      <c r="J448" s="98"/>
      <c r="K448" s="98"/>
      <c r="L448" s="98"/>
      <c r="M448" s="98"/>
      <c r="N448" s="98"/>
      <c r="O448" s="98"/>
      <c r="P448" s="98"/>
      <c r="Q448" s="98"/>
      <c r="R448" s="98"/>
      <c r="S448" s="98"/>
      <c r="T448" s="98"/>
      <c r="U448" s="98"/>
      <c r="V448" s="98"/>
      <c r="W448" s="98"/>
      <c r="X448" s="98"/>
      <c r="Y448" s="98"/>
      <c r="Z448" s="98"/>
      <c r="AA448" s="98"/>
      <c r="AB448" s="98"/>
      <c r="AC448" s="98"/>
    </row>
    <row r="449" spans="1:29" ht="14.1" customHeight="1" x14ac:dyDescent="0.2">
      <c r="A449" s="98"/>
      <c r="B449" s="98"/>
      <c r="C449" s="98"/>
      <c r="D449" s="98"/>
      <c r="E449" s="98"/>
      <c r="F449" s="98"/>
      <c r="G449" s="98"/>
      <c r="H449" s="98"/>
      <c r="I449" s="98"/>
      <c r="J449" s="98"/>
      <c r="K449" s="98"/>
      <c r="L449" s="98"/>
      <c r="M449" s="98"/>
      <c r="N449" s="98"/>
      <c r="O449" s="98"/>
      <c r="P449" s="98"/>
      <c r="Q449" s="98"/>
      <c r="R449" s="98"/>
      <c r="S449" s="98"/>
      <c r="T449" s="98"/>
      <c r="U449" s="98"/>
      <c r="V449" s="98"/>
      <c r="W449" s="98"/>
      <c r="X449" s="98"/>
      <c r="Y449" s="98"/>
      <c r="Z449" s="98"/>
      <c r="AA449" s="98"/>
      <c r="AB449" s="98"/>
      <c r="AC449" s="98"/>
    </row>
    <row r="450" spans="1:29" ht="14.1" customHeight="1" x14ac:dyDescent="0.2">
      <c r="A450" s="98"/>
      <c r="B450" s="98"/>
      <c r="C450" s="98"/>
      <c r="D450" s="98"/>
      <c r="E450" s="98"/>
      <c r="F450" s="98"/>
      <c r="G450" s="98"/>
      <c r="H450" s="98"/>
      <c r="I450" s="98"/>
      <c r="J450" s="98"/>
      <c r="K450" s="98"/>
      <c r="L450" s="98"/>
      <c r="M450" s="98"/>
      <c r="N450" s="98"/>
      <c r="O450" s="98"/>
      <c r="P450" s="98"/>
      <c r="Q450" s="98"/>
      <c r="R450" s="98"/>
      <c r="S450" s="98"/>
      <c r="T450" s="98"/>
      <c r="U450" s="98"/>
      <c r="V450" s="98"/>
      <c r="W450" s="98"/>
      <c r="X450" s="98"/>
      <c r="Y450" s="98"/>
      <c r="Z450" s="98"/>
      <c r="AA450" s="98"/>
      <c r="AB450" s="98"/>
      <c r="AC450" s="98"/>
    </row>
    <row r="451" spans="1:29" ht="14.1" customHeight="1" x14ac:dyDescent="0.2">
      <c r="A451" s="98"/>
      <c r="B451" s="98"/>
      <c r="C451" s="98"/>
      <c r="D451" s="98"/>
      <c r="E451" s="98"/>
      <c r="F451" s="98"/>
      <c r="G451" s="98"/>
      <c r="H451" s="98"/>
      <c r="I451" s="98"/>
      <c r="J451" s="98"/>
      <c r="K451" s="98"/>
      <c r="L451" s="98"/>
      <c r="M451" s="98"/>
      <c r="N451" s="98"/>
      <c r="O451" s="98"/>
      <c r="P451" s="98"/>
      <c r="Q451" s="98"/>
      <c r="R451" s="98"/>
      <c r="S451" s="98"/>
      <c r="T451" s="98"/>
      <c r="U451" s="98"/>
      <c r="V451" s="98"/>
      <c r="W451" s="98"/>
      <c r="X451" s="98"/>
      <c r="Y451" s="98"/>
      <c r="Z451" s="98"/>
      <c r="AA451" s="98"/>
      <c r="AB451" s="98"/>
      <c r="AC451" s="98"/>
    </row>
    <row r="452" spans="1:29" ht="14.1" customHeight="1" x14ac:dyDescent="0.2"/>
    <row r="453" spans="1:29" ht="14.1" customHeight="1" x14ac:dyDescent="0.2"/>
    <row r="454" spans="1:29" ht="14.1" customHeight="1" x14ac:dyDescent="0.2"/>
    <row r="455" spans="1:29" ht="14.1" customHeight="1" x14ac:dyDescent="0.2"/>
    <row r="456" spans="1:29" ht="14.1" customHeight="1" x14ac:dyDescent="0.2"/>
    <row r="457" spans="1:29" ht="14.1" customHeight="1" x14ac:dyDescent="0.2"/>
    <row r="458" spans="1:29" ht="14.1" customHeight="1" x14ac:dyDescent="0.2"/>
    <row r="459" spans="1:29" ht="14.1" customHeight="1" x14ac:dyDescent="0.2"/>
    <row r="460" spans="1:29" ht="14.1" customHeight="1" x14ac:dyDescent="0.2"/>
    <row r="461" spans="1:29" ht="14.1" customHeight="1" x14ac:dyDescent="0.2"/>
    <row r="462" spans="1:29" ht="14.1" customHeight="1" x14ac:dyDescent="0.2"/>
    <row r="463" spans="1:29" ht="14.1" customHeight="1" x14ac:dyDescent="0.2"/>
    <row r="464" spans="1:29" ht="14.1" customHeight="1" x14ac:dyDescent="0.2"/>
    <row r="465" ht="14.1" customHeight="1" x14ac:dyDescent="0.2"/>
    <row r="466" ht="14.1" customHeight="1" x14ac:dyDescent="0.2"/>
    <row r="467" ht="14.1" customHeight="1" x14ac:dyDescent="0.2"/>
    <row r="468" ht="14.1" customHeight="1" x14ac:dyDescent="0.2"/>
    <row r="469" ht="14.1" customHeight="1" x14ac:dyDescent="0.2"/>
    <row r="470" ht="14.1" customHeight="1" x14ac:dyDescent="0.2"/>
    <row r="471" ht="14.1" customHeight="1" x14ac:dyDescent="0.2"/>
    <row r="472" ht="14.1" customHeight="1" x14ac:dyDescent="0.2"/>
    <row r="473" ht="14.1" customHeight="1" x14ac:dyDescent="0.2"/>
    <row r="474" ht="14.1" customHeight="1" x14ac:dyDescent="0.2"/>
    <row r="475" ht="14.1" customHeight="1" x14ac:dyDescent="0.2"/>
    <row r="476" ht="14.1" customHeight="1" x14ac:dyDescent="0.2"/>
    <row r="477" ht="14.1" customHeight="1" x14ac:dyDescent="0.2"/>
    <row r="478" ht="14.1" customHeight="1" x14ac:dyDescent="0.2"/>
    <row r="479" ht="14.1" customHeight="1" x14ac:dyDescent="0.2"/>
    <row r="480" ht="14.1" customHeight="1" x14ac:dyDescent="0.2"/>
    <row r="481" ht="14.1" customHeight="1" x14ac:dyDescent="0.2"/>
    <row r="482" ht="14.1" customHeight="1" x14ac:dyDescent="0.2"/>
    <row r="483" ht="14.1" customHeight="1" x14ac:dyDescent="0.2"/>
    <row r="484" ht="14.1" customHeight="1" x14ac:dyDescent="0.2"/>
    <row r="485" ht="14.1" customHeight="1" x14ac:dyDescent="0.2"/>
    <row r="486" ht="14.1" customHeight="1" x14ac:dyDescent="0.2"/>
    <row r="487" ht="14.1" customHeight="1" x14ac:dyDescent="0.2"/>
    <row r="488" ht="14.1" customHeight="1" x14ac:dyDescent="0.2"/>
    <row r="489" ht="14.1" customHeight="1" x14ac:dyDescent="0.2"/>
    <row r="490" ht="14.1" customHeight="1" x14ac:dyDescent="0.2"/>
    <row r="491" ht="14.1" customHeight="1" x14ac:dyDescent="0.2"/>
    <row r="492" ht="14.1" customHeight="1" x14ac:dyDescent="0.2"/>
    <row r="493" ht="14.1" customHeight="1" x14ac:dyDescent="0.2"/>
    <row r="494" ht="14.1" customHeight="1" x14ac:dyDescent="0.2"/>
    <row r="495" ht="14.1" customHeight="1" x14ac:dyDescent="0.2"/>
    <row r="496" ht="14.1" customHeight="1" x14ac:dyDescent="0.2"/>
    <row r="497" ht="14.1" customHeight="1" x14ac:dyDescent="0.2"/>
    <row r="498" ht="14.1" customHeight="1" x14ac:dyDescent="0.2"/>
    <row r="499" ht="14.1" customHeight="1" x14ac:dyDescent="0.2"/>
    <row r="500" ht="14.1" customHeight="1" x14ac:dyDescent="0.2"/>
    <row r="501" ht="14.1" customHeight="1" x14ac:dyDescent="0.2"/>
    <row r="502" ht="14.1" customHeight="1" x14ac:dyDescent="0.2"/>
    <row r="503" ht="14.1" customHeight="1" x14ac:dyDescent="0.2"/>
    <row r="504" ht="14.1" customHeight="1" x14ac:dyDescent="0.2"/>
    <row r="505" ht="14.1" customHeight="1" x14ac:dyDescent="0.2"/>
    <row r="506" ht="14.1" customHeight="1" x14ac:dyDescent="0.2"/>
    <row r="507" ht="14.1" customHeight="1" x14ac:dyDescent="0.2"/>
    <row r="508" ht="14.1" customHeight="1" x14ac:dyDescent="0.2"/>
    <row r="509" ht="14.1" customHeight="1" x14ac:dyDescent="0.2"/>
    <row r="510" ht="14.1" customHeight="1" x14ac:dyDescent="0.2"/>
    <row r="511" ht="14.1" customHeight="1" x14ac:dyDescent="0.2"/>
    <row r="512" ht="14.1" customHeight="1" x14ac:dyDescent="0.2"/>
    <row r="513" ht="14.1" customHeight="1" x14ac:dyDescent="0.2"/>
    <row r="514" ht="14.1" customHeight="1" x14ac:dyDescent="0.2"/>
    <row r="515" ht="14.1" customHeight="1" x14ac:dyDescent="0.2"/>
    <row r="516" ht="14.1" customHeight="1" x14ac:dyDescent="0.2"/>
    <row r="517" ht="14.1" customHeight="1" x14ac:dyDescent="0.2"/>
    <row r="518" ht="14.1" customHeight="1" x14ac:dyDescent="0.2"/>
    <row r="519" ht="14.1" customHeight="1" x14ac:dyDescent="0.2"/>
    <row r="520" ht="14.1" customHeight="1" x14ac:dyDescent="0.2"/>
    <row r="521" ht="14.1" customHeight="1" x14ac:dyDescent="0.2"/>
    <row r="522" ht="14.1" customHeight="1" x14ac:dyDescent="0.2"/>
    <row r="523" ht="14.1" customHeight="1" x14ac:dyDescent="0.2"/>
    <row r="524" ht="14.1" customHeight="1" x14ac:dyDescent="0.2"/>
    <row r="525" ht="14.1" customHeight="1" x14ac:dyDescent="0.2"/>
    <row r="526" ht="14.1" customHeight="1" x14ac:dyDescent="0.2"/>
    <row r="527" ht="14.1" customHeight="1" x14ac:dyDescent="0.2"/>
    <row r="528" ht="14.1" customHeight="1" x14ac:dyDescent="0.2"/>
    <row r="529" ht="14.1" customHeight="1" x14ac:dyDescent="0.2"/>
    <row r="530" ht="14.1" customHeight="1" x14ac:dyDescent="0.2"/>
    <row r="531" ht="14.1" customHeight="1" x14ac:dyDescent="0.2"/>
    <row r="532" ht="14.1" customHeight="1" x14ac:dyDescent="0.2"/>
    <row r="533" ht="14.1" customHeight="1" x14ac:dyDescent="0.2"/>
    <row r="534" ht="14.1" customHeight="1" x14ac:dyDescent="0.2"/>
    <row r="535" ht="14.1" customHeight="1" x14ac:dyDescent="0.2"/>
    <row r="536" ht="14.1" customHeight="1" x14ac:dyDescent="0.2"/>
    <row r="537" ht="14.1" customHeight="1" x14ac:dyDescent="0.2"/>
    <row r="538" ht="14.1" customHeight="1" x14ac:dyDescent="0.2"/>
    <row r="539" ht="14.1" customHeight="1" x14ac:dyDescent="0.2"/>
    <row r="540" ht="14.1" customHeight="1" x14ac:dyDescent="0.2"/>
    <row r="541" ht="14.1" customHeight="1" x14ac:dyDescent="0.2"/>
    <row r="542" ht="14.1" customHeight="1" x14ac:dyDescent="0.2"/>
    <row r="543" ht="14.1" customHeight="1" x14ac:dyDescent="0.2"/>
    <row r="544" ht="14.1" customHeight="1" x14ac:dyDescent="0.2"/>
    <row r="545" ht="14.1" customHeight="1" x14ac:dyDescent="0.2"/>
    <row r="546" ht="14.1" customHeight="1" x14ac:dyDescent="0.2"/>
    <row r="547" ht="14.1" customHeight="1" x14ac:dyDescent="0.2"/>
    <row r="548" ht="14.1" customHeight="1" x14ac:dyDescent="0.2"/>
    <row r="549" ht="14.1" customHeight="1" x14ac:dyDescent="0.2"/>
    <row r="550" ht="14.1" customHeight="1" x14ac:dyDescent="0.2"/>
    <row r="551" ht="14.1" customHeight="1" x14ac:dyDescent="0.2"/>
    <row r="552" ht="14.1" customHeight="1" x14ac:dyDescent="0.2"/>
    <row r="553" ht="14.1" customHeight="1" x14ac:dyDescent="0.2"/>
    <row r="554" ht="14.1" customHeight="1" x14ac:dyDescent="0.2"/>
    <row r="555" ht="14.1" customHeight="1" x14ac:dyDescent="0.2"/>
    <row r="556" ht="14.1" customHeight="1" x14ac:dyDescent="0.2"/>
    <row r="557" ht="14.1" customHeight="1" x14ac:dyDescent="0.2"/>
    <row r="558" ht="14.1" customHeight="1" x14ac:dyDescent="0.2"/>
    <row r="559" ht="14.1" customHeight="1" x14ac:dyDescent="0.2"/>
    <row r="560" ht="14.1" customHeight="1" x14ac:dyDescent="0.2"/>
    <row r="561" ht="14.1" customHeight="1" x14ac:dyDescent="0.2"/>
    <row r="562" ht="14.1" customHeight="1" x14ac:dyDescent="0.2"/>
    <row r="563" ht="14.1" customHeight="1" x14ac:dyDescent="0.2"/>
    <row r="564" ht="14.1" customHeight="1" x14ac:dyDescent="0.2"/>
    <row r="565" ht="14.1" customHeight="1" x14ac:dyDescent="0.2"/>
    <row r="566" ht="14.1" customHeight="1" x14ac:dyDescent="0.2"/>
    <row r="567" ht="14.1" customHeight="1" x14ac:dyDescent="0.2"/>
    <row r="568" ht="14.1" customHeight="1" x14ac:dyDescent="0.2"/>
    <row r="569" ht="14.1" customHeight="1" x14ac:dyDescent="0.2"/>
    <row r="570" ht="14.1" customHeight="1" x14ac:dyDescent="0.2"/>
    <row r="571" ht="14.1" customHeight="1" x14ac:dyDescent="0.2"/>
    <row r="572" ht="14.1" customHeight="1" x14ac:dyDescent="0.2"/>
    <row r="573" ht="14.1" customHeight="1" x14ac:dyDescent="0.2"/>
    <row r="574" ht="14.1" customHeight="1" x14ac:dyDescent="0.2"/>
    <row r="575" ht="14.1" customHeight="1" x14ac:dyDescent="0.2"/>
    <row r="576" ht="14.1" customHeight="1" x14ac:dyDescent="0.2"/>
    <row r="577" ht="14.1" customHeight="1" x14ac:dyDescent="0.2"/>
    <row r="578" ht="14.1" customHeight="1" x14ac:dyDescent="0.2"/>
    <row r="579" ht="14.1" customHeight="1" x14ac:dyDescent="0.2"/>
    <row r="580" ht="14.1" customHeight="1" x14ac:dyDescent="0.2"/>
    <row r="581" ht="14.1" customHeight="1" x14ac:dyDescent="0.2"/>
    <row r="582" ht="14.1" customHeight="1" x14ac:dyDescent="0.2"/>
    <row r="583" ht="14.1" customHeight="1" x14ac:dyDescent="0.2"/>
    <row r="584" ht="14.1" customHeight="1" x14ac:dyDescent="0.2"/>
    <row r="585" ht="14.1" customHeight="1" x14ac:dyDescent="0.2"/>
    <row r="586" ht="14.1" customHeight="1" x14ac:dyDescent="0.2"/>
    <row r="587" ht="14.1" customHeight="1" x14ac:dyDescent="0.2"/>
    <row r="588" ht="14.1" customHeight="1" x14ac:dyDescent="0.2"/>
    <row r="589" ht="14.1" customHeight="1" x14ac:dyDescent="0.2"/>
    <row r="590" ht="14.1" customHeight="1" x14ac:dyDescent="0.2"/>
    <row r="591" ht="14.1" customHeight="1" x14ac:dyDescent="0.2"/>
    <row r="592" ht="14.1" customHeight="1" x14ac:dyDescent="0.2"/>
    <row r="593" ht="14.1" customHeight="1" x14ac:dyDescent="0.2"/>
    <row r="594" ht="14.1" customHeight="1" x14ac:dyDescent="0.2"/>
    <row r="595" ht="14.1" customHeight="1" x14ac:dyDescent="0.2"/>
    <row r="596" ht="14.1" customHeight="1" x14ac:dyDescent="0.2"/>
    <row r="597" ht="14.1" customHeight="1" x14ac:dyDescent="0.2"/>
    <row r="598" ht="14.1" customHeight="1" x14ac:dyDescent="0.2"/>
    <row r="599" ht="14.1" customHeight="1" x14ac:dyDescent="0.2"/>
    <row r="600" ht="14.1" customHeight="1" x14ac:dyDescent="0.2"/>
    <row r="601" ht="14.1" customHeight="1" x14ac:dyDescent="0.2"/>
    <row r="602" ht="14.1" customHeight="1" x14ac:dyDescent="0.2"/>
    <row r="603" ht="14.1" customHeight="1" x14ac:dyDescent="0.2"/>
    <row r="604" ht="14.1" customHeight="1" x14ac:dyDescent="0.2"/>
    <row r="605" ht="14.1" customHeight="1" x14ac:dyDescent="0.2"/>
    <row r="606" ht="14.1" customHeight="1" x14ac:dyDescent="0.2"/>
    <row r="607" ht="14.1" customHeight="1" x14ac:dyDescent="0.2"/>
    <row r="608" ht="14.1" customHeight="1" x14ac:dyDescent="0.2"/>
    <row r="609" ht="14.1" customHeight="1" x14ac:dyDescent="0.2"/>
    <row r="610" ht="14.1" customHeight="1" x14ac:dyDescent="0.2"/>
    <row r="611" ht="14.1" customHeight="1" x14ac:dyDescent="0.2"/>
    <row r="612" ht="14.1" customHeight="1" x14ac:dyDescent="0.2"/>
    <row r="613" ht="14.1" customHeight="1" x14ac:dyDescent="0.2"/>
    <row r="614" ht="14.1" customHeight="1" x14ac:dyDescent="0.2"/>
    <row r="615" ht="14.1" customHeight="1" x14ac:dyDescent="0.2"/>
    <row r="616" ht="14.1" customHeight="1" x14ac:dyDescent="0.2"/>
    <row r="617" ht="14.1" customHeight="1" x14ac:dyDescent="0.2"/>
    <row r="618" ht="14.1" customHeight="1" x14ac:dyDescent="0.2"/>
    <row r="619" ht="14.1" customHeight="1" x14ac:dyDescent="0.2"/>
    <row r="620" ht="14.1" customHeight="1" x14ac:dyDescent="0.2"/>
    <row r="621" ht="14.1" customHeight="1" x14ac:dyDescent="0.2"/>
    <row r="622" ht="14.1" customHeight="1" x14ac:dyDescent="0.2"/>
    <row r="623" ht="14.1" customHeight="1" x14ac:dyDescent="0.2"/>
    <row r="624" ht="14.1" customHeight="1" x14ac:dyDescent="0.2"/>
    <row r="625" ht="14.1" customHeight="1" x14ac:dyDescent="0.2"/>
    <row r="626" ht="14.1" customHeight="1" x14ac:dyDescent="0.2"/>
    <row r="627" ht="14.1" customHeight="1" x14ac:dyDescent="0.2"/>
    <row r="628" ht="14.1" customHeight="1" x14ac:dyDescent="0.2"/>
    <row r="629" ht="14.1" customHeight="1" x14ac:dyDescent="0.2"/>
    <row r="630" ht="14.1" customHeight="1" x14ac:dyDescent="0.2"/>
    <row r="631" ht="14.1" customHeight="1" x14ac:dyDescent="0.2"/>
    <row r="632" ht="14.1" customHeight="1" x14ac:dyDescent="0.2"/>
    <row r="633" ht="14.1" customHeight="1" x14ac:dyDescent="0.2"/>
    <row r="634" ht="14.1" customHeight="1" x14ac:dyDescent="0.2"/>
    <row r="635" ht="14.1" customHeight="1" x14ac:dyDescent="0.2"/>
    <row r="636" ht="14.1" customHeight="1" x14ac:dyDescent="0.2"/>
    <row r="637" ht="14.1" customHeight="1" x14ac:dyDescent="0.2"/>
    <row r="638" ht="14.1" customHeight="1" x14ac:dyDescent="0.2"/>
    <row r="639" ht="14.1" customHeight="1" x14ac:dyDescent="0.2"/>
    <row r="640" ht="14.1" customHeight="1" x14ac:dyDescent="0.2"/>
    <row r="641" ht="14.1" customHeight="1" x14ac:dyDescent="0.2"/>
    <row r="642" ht="14.1" customHeight="1" x14ac:dyDescent="0.2"/>
    <row r="643" ht="14.1" customHeight="1" x14ac:dyDescent="0.2"/>
    <row r="644" ht="14.1" customHeight="1" x14ac:dyDescent="0.2"/>
    <row r="645" ht="14.1" customHeight="1" x14ac:dyDescent="0.2"/>
    <row r="646" ht="14.1" customHeight="1" x14ac:dyDescent="0.2"/>
    <row r="647" ht="14.1" customHeight="1" x14ac:dyDescent="0.2"/>
    <row r="648" ht="14.1" customHeight="1" x14ac:dyDescent="0.2"/>
    <row r="649" ht="14.1" customHeight="1" x14ac:dyDescent="0.2"/>
    <row r="650" ht="14.1" customHeight="1" x14ac:dyDescent="0.2"/>
    <row r="651" ht="14.1" customHeight="1" x14ac:dyDescent="0.2"/>
    <row r="652" ht="14.1" customHeight="1" x14ac:dyDescent="0.2"/>
    <row r="653" ht="14.1" customHeight="1" x14ac:dyDescent="0.2"/>
    <row r="654" ht="14.1" customHeight="1" x14ac:dyDescent="0.2"/>
    <row r="655" ht="14.1" customHeight="1" x14ac:dyDescent="0.2"/>
    <row r="656" ht="14.1" customHeight="1" x14ac:dyDescent="0.2"/>
    <row r="657" ht="14.1" customHeight="1" x14ac:dyDescent="0.2"/>
    <row r="658" ht="14.1" customHeight="1" x14ac:dyDescent="0.2"/>
    <row r="659" ht="14.1" customHeight="1" x14ac:dyDescent="0.2"/>
    <row r="660" ht="14.1" customHeight="1" x14ac:dyDescent="0.2"/>
    <row r="661" ht="14.1" customHeight="1" x14ac:dyDescent="0.2"/>
    <row r="662" ht="14.1" customHeight="1" x14ac:dyDescent="0.2"/>
    <row r="663" ht="14.1" customHeight="1" x14ac:dyDescent="0.2"/>
    <row r="664" ht="14.1" customHeight="1" x14ac:dyDescent="0.2"/>
    <row r="665" ht="14.1" customHeight="1" x14ac:dyDescent="0.2"/>
    <row r="666" ht="14.1" customHeight="1" x14ac:dyDescent="0.2"/>
    <row r="667" ht="14.1" customHeight="1" x14ac:dyDescent="0.2"/>
    <row r="668" ht="14.1" customHeight="1" x14ac:dyDescent="0.2"/>
    <row r="669" ht="14.1" customHeight="1" x14ac:dyDescent="0.2"/>
    <row r="670" ht="14.1" customHeight="1" x14ac:dyDescent="0.2"/>
    <row r="671" ht="14.1" customHeight="1" x14ac:dyDescent="0.2"/>
    <row r="672" ht="14.1" customHeight="1" x14ac:dyDescent="0.2"/>
    <row r="673" ht="14.1" customHeight="1" x14ac:dyDescent="0.2"/>
    <row r="674" ht="14.1" customHeight="1" x14ac:dyDescent="0.2"/>
    <row r="675" ht="14.1" customHeight="1" x14ac:dyDescent="0.2"/>
    <row r="676" ht="14.1" customHeight="1" x14ac:dyDescent="0.2"/>
    <row r="677" ht="14.1" customHeight="1" x14ac:dyDescent="0.2"/>
    <row r="678" ht="14.1" customHeight="1" x14ac:dyDescent="0.2"/>
    <row r="679" ht="14.1" customHeight="1" x14ac:dyDescent="0.2"/>
    <row r="680" ht="14.1" customHeight="1" x14ac:dyDescent="0.2"/>
    <row r="681" ht="14.1" customHeight="1" x14ac:dyDescent="0.2"/>
    <row r="682" ht="14.1" customHeight="1" x14ac:dyDescent="0.2"/>
    <row r="683" ht="14.1" customHeight="1" x14ac:dyDescent="0.2"/>
    <row r="684" ht="14.1" customHeight="1" x14ac:dyDescent="0.2"/>
    <row r="685" ht="14.1" customHeight="1" x14ac:dyDescent="0.2"/>
    <row r="686" ht="14.1" customHeight="1" x14ac:dyDescent="0.2"/>
    <row r="687" ht="14.1" customHeight="1" x14ac:dyDescent="0.2"/>
    <row r="688" ht="14.1" customHeight="1" x14ac:dyDescent="0.2"/>
    <row r="689" ht="14.1" customHeight="1" x14ac:dyDescent="0.2"/>
    <row r="690" ht="14.1" customHeight="1" x14ac:dyDescent="0.2"/>
    <row r="691" ht="14.1" customHeight="1" x14ac:dyDescent="0.2"/>
    <row r="692" ht="14.1" customHeight="1" x14ac:dyDescent="0.2"/>
    <row r="693" ht="14.1" customHeight="1" x14ac:dyDescent="0.2"/>
    <row r="694" ht="14.1" customHeight="1" x14ac:dyDescent="0.2"/>
    <row r="695" ht="14.1" customHeight="1" x14ac:dyDescent="0.2"/>
    <row r="696" ht="14.1" customHeight="1" x14ac:dyDescent="0.2"/>
    <row r="697" ht="14.1" customHeight="1" x14ac:dyDescent="0.2"/>
    <row r="698" ht="14.1" customHeight="1" x14ac:dyDescent="0.2"/>
    <row r="699" ht="14.1" customHeight="1" x14ac:dyDescent="0.2"/>
    <row r="700" ht="14.1" customHeight="1" x14ac:dyDescent="0.2"/>
    <row r="701" ht="14.1" customHeight="1" x14ac:dyDescent="0.2"/>
    <row r="702" ht="14.1" customHeight="1" x14ac:dyDescent="0.2"/>
    <row r="703" ht="14.1" customHeight="1" x14ac:dyDescent="0.2"/>
    <row r="704" ht="14.1" customHeight="1" x14ac:dyDescent="0.2"/>
    <row r="705" ht="14.1" customHeight="1" x14ac:dyDescent="0.2"/>
    <row r="706" ht="14.1" customHeight="1" x14ac:dyDescent="0.2"/>
    <row r="707" ht="14.1" customHeight="1" x14ac:dyDescent="0.2"/>
    <row r="708" ht="14.1" customHeight="1" x14ac:dyDescent="0.2"/>
    <row r="709" ht="14.1" customHeight="1" x14ac:dyDescent="0.2"/>
    <row r="710" ht="14.1" customHeight="1" x14ac:dyDescent="0.2"/>
    <row r="711" ht="14.1" customHeight="1" x14ac:dyDescent="0.2"/>
    <row r="712" ht="14.1" customHeight="1" x14ac:dyDescent="0.2"/>
    <row r="713" ht="14.1" customHeight="1" x14ac:dyDescent="0.2"/>
    <row r="714" ht="14.1" customHeight="1" x14ac:dyDescent="0.2"/>
    <row r="715" ht="14.1" customHeight="1" x14ac:dyDescent="0.2"/>
    <row r="716" ht="14.1" customHeight="1" x14ac:dyDescent="0.2"/>
    <row r="717" ht="14.1" customHeight="1" x14ac:dyDescent="0.2"/>
    <row r="718" ht="14.1" customHeight="1" x14ac:dyDescent="0.2"/>
    <row r="719" ht="14.1" customHeight="1" x14ac:dyDescent="0.2"/>
    <row r="720" ht="14.1" customHeight="1" x14ac:dyDescent="0.2"/>
    <row r="721" ht="14.1" customHeight="1" x14ac:dyDescent="0.2"/>
    <row r="722" ht="14.1" customHeight="1" x14ac:dyDescent="0.2"/>
    <row r="723" ht="14.1" customHeight="1" x14ac:dyDescent="0.2"/>
    <row r="724" ht="14.1" customHeight="1" x14ac:dyDescent="0.2"/>
    <row r="725" ht="14.1" customHeight="1" x14ac:dyDescent="0.2"/>
    <row r="726" ht="14.1" customHeight="1" x14ac:dyDescent="0.2"/>
    <row r="727" ht="14.1" customHeight="1" x14ac:dyDescent="0.2"/>
    <row r="728" ht="14.1" customHeight="1" x14ac:dyDescent="0.2"/>
    <row r="729" ht="14.1" customHeight="1" x14ac:dyDescent="0.2"/>
    <row r="730" ht="14.1" customHeight="1" x14ac:dyDescent="0.2"/>
    <row r="731" ht="14.1" customHeight="1" x14ac:dyDescent="0.2"/>
    <row r="732" ht="14.1" customHeight="1" x14ac:dyDescent="0.2"/>
    <row r="733" ht="14.1" customHeight="1" x14ac:dyDescent="0.2"/>
    <row r="734" ht="14.1" customHeight="1" x14ac:dyDescent="0.2"/>
    <row r="735" ht="14.1" customHeight="1" x14ac:dyDescent="0.2"/>
    <row r="736" ht="14.1" customHeight="1" x14ac:dyDescent="0.2"/>
    <row r="737" ht="14.1" customHeight="1" x14ac:dyDescent="0.2"/>
    <row r="738" ht="14.1" customHeight="1" x14ac:dyDescent="0.2"/>
    <row r="739" ht="14.1" customHeight="1" x14ac:dyDescent="0.2"/>
    <row r="740" ht="14.1" customHeight="1" x14ac:dyDescent="0.2"/>
    <row r="741" ht="14.1" customHeight="1" x14ac:dyDescent="0.2"/>
    <row r="742" ht="14.1" customHeight="1" x14ac:dyDescent="0.2"/>
    <row r="743" ht="14.1" customHeight="1" x14ac:dyDescent="0.2"/>
    <row r="744" ht="14.1" customHeight="1" x14ac:dyDescent="0.2"/>
    <row r="745" ht="14.1" customHeight="1" x14ac:dyDescent="0.2"/>
    <row r="746" ht="14.1" customHeight="1" x14ac:dyDescent="0.2"/>
    <row r="747" ht="14.1" customHeight="1" x14ac:dyDescent="0.2"/>
    <row r="748" ht="14.1" customHeight="1" x14ac:dyDescent="0.2"/>
    <row r="749" ht="14.1" customHeight="1" x14ac:dyDescent="0.2"/>
    <row r="750" ht="14.1" customHeight="1" x14ac:dyDescent="0.2"/>
    <row r="751" ht="14.1" customHeight="1" x14ac:dyDescent="0.2"/>
    <row r="752" ht="14.1" customHeight="1" x14ac:dyDescent="0.2"/>
    <row r="753" ht="14.1" customHeight="1" x14ac:dyDescent="0.2"/>
    <row r="754" ht="14.1" customHeight="1" x14ac:dyDescent="0.2"/>
    <row r="755" ht="14.1" customHeight="1" x14ac:dyDescent="0.2"/>
    <row r="756" ht="14.1" customHeight="1" x14ac:dyDescent="0.2"/>
    <row r="757" ht="14.1" customHeight="1" x14ac:dyDescent="0.2"/>
    <row r="758" ht="14.1" customHeight="1" x14ac:dyDescent="0.2"/>
    <row r="759" ht="14.1" customHeight="1" x14ac:dyDescent="0.2"/>
    <row r="760" ht="14.1" customHeight="1" x14ac:dyDescent="0.2"/>
    <row r="761" ht="14.1" customHeight="1" x14ac:dyDescent="0.2"/>
    <row r="762" ht="14.1" customHeight="1" x14ac:dyDescent="0.2"/>
    <row r="763" ht="14.1" customHeight="1" x14ac:dyDescent="0.2"/>
    <row r="764" ht="14.1" customHeight="1" x14ac:dyDescent="0.2"/>
    <row r="765" ht="14.1" customHeight="1" x14ac:dyDescent="0.2"/>
    <row r="766" ht="14.1" customHeight="1" x14ac:dyDescent="0.2"/>
    <row r="767" ht="14.1" customHeight="1" x14ac:dyDescent="0.2"/>
    <row r="768" ht="14.1" customHeight="1" x14ac:dyDescent="0.2"/>
    <row r="769" ht="14.1" customHeight="1" x14ac:dyDescent="0.2"/>
    <row r="770" ht="14.1" customHeight="1" x14ac:dyDescent="0.2"/>
    <row r="771" ht="14.1" customHeight="1" x14ac:dyDescent="0.2"/>
    <row r="772" ht="14.1" customHeight="1" x14ac:dyDescent="0.2"/>
    <row r="773" ht="14.1" customHeight="1" x14ac:dyDescent="0.2"/>
    <row r="774" ht="14.1" customHeight="1" x14ac:dyDescent="0.2"/>
    <row r="775" ht="14.1" customHeight="1" x14ac:dyDescent="0.2"/>
    <row r="776" ht="14.1" customHeight="1" x14ac:dyDescent="0.2"/>
    <row r="777" ht="14.1" customHeight="1" x14ac:dyDescent="0.2"/>
    <row r="778" ht="14.1" customHeight="1" x14ac:dyDescent="0.2"/>
    <row r="779" ht="14.1" customHeight="1" x14ac:dyDescent="0.2"/>
    <row r="780" ht="14.1" customHeight="1" x14ac:dyDescent="0.2"/>
    <row r="781" ht="14.1" customHeight="1" x14ac:dyDescent="0.2"/>
    <row r="782" ht="14.1" customHeight="1" x14ac:dyDescent="0.2"/>
    <row r="783" ht="14.1" customHeight="1" x14ac:dyDescent="0.2"/>
    <row r="784" ht="14.1" customHeight="1" x14ac:dyDescent="0.2"/>
    <row r="785" ht="14.1" customHeight="1" x14ac:dyDescent="0.2"/>
    <row r="786" ht="14.1" customHeight="1" x14ac:dyDescent="0.2"/>
    <row r="787" ht="14.1" customHeight="1" x14ac:dyDescent="0.2"/>
    <row r="788" ht="14.1" customHeight="1" x14ac:dyDescent="0.2"/>
    <row r="789" ht="14.1" customHeight="1" x14ac:dyDescent="0.2"/>
    <row r="790" ht="14.1" customHeight="1" x14ac:dyDescent="0.2"/>
    <row r="791" ht="14.1" customHeight="1" x14ac:dyDescent="0.2"/>
    <row r="792" ht="14.1" customHeight="1" x14ac:dyDescent="0.2"/>
    <row r="793" ht="14.1" customHeight="1" x14ac:dyDescent="0.2"/>
    <row r="794" ht="14.1" customHeight="1" x14ac:dyDescent="0.2"/>
    <row r="795" ht="14.1" customHeight="1" x14ac:dyDescent="0.2"/>
    <row r="796" ht="14.1" customHeight="1" x14ac:dyDescent="0.2"/>
    <row r="797" ht="14.1" customHeight="1" x14ac:dyDescent="0.2"/>
    <row r="798" ht="14.1" customHeight="1" x14ac:dyDescent="0.2"/>
    <row r="799" ht="14.1" customHeight="1" x14ac:dyDescent="0.2"/>
    <row r="800" ht="14.1" customHeight="1" x14ac:dyDescent="0.2"/>
    <row r="801" ht="14.1" customHeight="1" x14ac:dyDescent="0.2"/>
    <row r="802" ht="14.1" customHeight="1" x14ac:dyDescent="0.2"/>
    <row r="803" ht="14.1" customHeight="1" x14ac:dyDescent="0.2"/>
    <row r="804" ht="14.1" customHeight="1" x14ac:dyDescent="0.2"/>
    <row r="805" ht="14.1" customHeight="1" x14ac:dyDescent="0.2"/>
    <row r="806" ht="14.1" customHeight="1" x14ac:dyDescent="0.2"/>
    <row r="807" ht="14.1" customHeight="1" x14ac:dyDescent="0.2"/>
    <row r="808" ht="14.1" customHeight="1" x14ac:dyDescent="0.2"/>
    <row r="809" ht="14.1" customHeight="1" x14ac:dyDescent="0.2"/>
    <row r="810" ht="14.1" customHeight="1" x14ac:dyDescent="0.2"/>
    <row r="811" ht="14.1" customHeight="1" x14ac:dyDescent="0.2"/>
    <row r="812" ht="14.1" customHeight="1" x14ac:dyDescent="0.2"/>
    <row r="813" ht="14.1" customHeight="1" x14ac:dyDescent="0.2"/>
    <row r="814" ht="14.1" customHeight="1" x14ac:dyDescent="0.2"/>
    <row r="815" ht="14.1" customHeight="1" x14ac:dyDescent="0.2"/>
    <row r="816" ht="14.1" customHeight="1" x14ac:dyDescent="0.2"/>
    <row r="817" ht="14.1" customHeight="1" x14ac:dyDescent="0.2"/>
    <row r="818" ht="14.1" customHeight="1" x14ac:dyDescent="0.2"/>
    <row r="819" ht="14.1" customHeight="1" x14ac:dyDescent="0.2"/>
    <row r="820" ht="14.1" customHeight="1" x14ac:dyDescent="0.2"/>
    <row r="821" ht="14.1" customHeight="1" x14ac:dyDescent="0.2"/>
    <row r="822" ht="14.1" customHeight="1" x14ac:dyDescent="0.2"/>
    <row r="823" ht="14.1" customHeight="1" x14ac:dyDescent="0.2"/>
    <row r="824" ht="14.1" customHeight="1" x14ac:dyDescent="0.2"/>
    <row r="825" ht="14.1" customHeight="1" x14ac:dyDescent="0.2"/>
    <row r="826" ht="14.1" customHeight="1" x14ac:dyDescent="0.2"/>
    <row r="827" ht="14.1" customHeight="1" x14ac:dyDescent="0.2"/>
    <row r="828" ht="14.1" customHeight="1" x14ac:dyDescent="0.2"/>
    <row r="829" ht="14.1" customHeight="1" x14ac:dyDescent="0.2"/>
    <row r="830" ht="14.1" customHeight="1" x14ac:dyDescent="0.2"/>
    <row r="831" ht="14.1" customHeight="1" x14ac:dyDescent="0.2"/>
    <row r="832" ht="14.1" customHeight="1" x14ac:dyDescent="0.2"/>
    <row r="833" ht="14.1" customHeight="1" x14ac:dyDescent="0.2"/>
    <row r="834" ht="14.1" customHeight="1" x14ac:dyDescent="0.2"/>
    <row r="835" ht="14.1" customHeight="1" x14ac:dyDescent="0.2"/>
    <row r="836" ht="14.1" customHeight="1" x14ac:dyDescent="0.2"/>
    <row r="837" ht="14.1" customHeight="1" x14ac:dyDescent="0.2"/>
    <row r="838" ht="14.1" customHeight="1" x14ac:dyDescent="0.2"/>
    <row r="839" ht="14.1" customHeight="1" x14ac:dyDescent="0.2"/>
    <row r="840" ht="14.1" customHeight="1" x14ac:dyDescent="0.2"/>
    <row r="841" ht="14.1" customHeight="1" x14ac:dyDescent="0.2"/>
    <row r="842" ht="14.1" customHeight="1" x14ac:dyDescent="0.2"/>
    <row r="843" ht="14.1" customHeight="1" x14ac:dyDescent="0.2"/>
    <row r="844" ht="14.1" customHeight="1" x14ac:dyDescent="0.2"/>
    <row r="845" ht="14.1" customHeight="1" x14ac:dyDescent="0.2"/>
    <row r="846" ht="14.1" customHeight="1" x14ac:dyDescent="0.2"/>
    <row r="847" ht="14.1" customHeight="1" x14ac:dyDescent="0.2"/>
    <row r="848" ht="14.1" customHeight="1" x14ac:dyDescent="0.2"/>
    <row r="849" ht="14.1" customHeight="1" x14ac:dyDescent="0.2"/>
    <row r="850" ht="14.1" customHeight="1" x14ac:dyDescent="0.2"/>
    <row r="851" ht="14.1" customHeight="1" x14ac:dyDescent="0.2"/>
    <row r="852" ht="14.1" customHeight="1" x14ac:dyDescent="0.2"/>
    <row r="853" ht="14.1" customHeight="1" x14ac:dyDescent="0.2"/>
    <row r="854" ht="14.1" customHeight="1" x14ac:dyDescent="0.2"/>
    <row r="855" ht="14.1" customHeight="1" x14ac:dyDescent="0.2"/>
    <row r="856" ht="14.1" customHeight="1" x14ac:dyDescent="0.2"/>
    <row r="857" ht="14.1" customHeight="1" x14ac:dyDescent="0.2"/>
    <row r="858" ht="14.1" customHeight="1" x14ac:dyDescent="0.2"/>
    <row r="859" ht="14.1" customHeight="1" x14ac:dyDescent="0.2"/>
    <row r="860" ht="14.1" customHeight="1" x14ac:dyDescent="0.2"/>
    <row r="861" ht="14.1" customHeight="1" x14ac:dyDescent="0.2"/>
    <row r="862" ht="14.1" customHeight="1" x14ac:dyDescent="0.2"/>
    <row r="863" ht="14.1" customHeight="1" x14ac:dyDescent="0.2"/>
    <row r="864" ht="14.1" customHeight="1" x14ac:dyDescent="0.2"/>
    <row r="865" ht="14.1" customHeight="1" x14ac:dyDescent="0.2"/>
    <row r="866" ht="14.1" customHeight="1" x14ac:dyDescent="0.2"/>
    <row r="867" ht="14.1" customHeight="1" x14ac:dyDescent="0.2"/>
    <row r="868" ht="14.1" customHeight="1" x14ac:dyDescent="0.2"/>
    <row r="869" ht="14.1" customHeight="1" x14ac:dyDescent="0.2"/>
    <row r="870" ht="14.1" customHeight="1" x14ac:dyDescent="0.2"/>
    <row r="871" ht="14.1" customHeight="1" x14ac:dyDescent="0.2"/>
    <row r="872" ht="14.1" customHeight="1" x14ac:dyDescent="0.2"/>
    <row r="873" ht="14.1" customHeight="1" x14ac:dyDescent="0.2"/>
    <row r="874" ht="14.1" customHeight="1" x14ac:dyDescent="0.2"/>
    <row r="875" ht="14.1" customHeight="1" x14ac:dyDescent="0.2"/>
    <row r="876" ht="14.1" customHeight="1" x14ac:dyDescent="0.2"/>
    <row r="877" ht="14.1" customHeight="1" x14ac:dyDescent="0.2"/>
    <row r="878" ht="14.1" customHeight="1" x14ac:dyDescent="0.2"/>
    <row r="879" ht="14.1" customHeight="1" x14ac:dyDescent="0.2"/>
    <row r="880" ht="14.1" customHeight="1" x14ac:dyDescent="0.2"/>
    <row r="881" ht="14.1" customHeight="1" x14ac:dyDescent="0.2"/>
    <row r="882" ht="14.1" customHeight="1" x14ac:dyDescent="0.2"/>
    <row r="883" ht="14.1" customHeight="1" x14ac:dyDescent="0.2"/>
    <row r="884" ht="14.1" customHeight="1" x14ac:dyDescent="0.2"/>
    <row r="885" ht="14.1" customHeight="1" x14ac:dyDescent="0.2"/>
    <row r="886" ht="14.1" customHeight="1" x14ac:dyDescent="0.2"/>
    <row r="887" ht="14.1" customHeight="1" x14ac:dyDescent="0.2"/>
    <row r="888" ht="14.1" customHeight="1" x14ac:dyDescent="0.2"/>
    <row r="889" ht="14.1" customHeight="1" x14ac:dyDescent="0.2"/>
    <row r="890" ht="14.1" customHeight="1" x14ac:dyDescent="0.2"/>
    <row r="891" ht="14.1" customHeight="1" x14ac:dyDescent="0.2"/>
    <row r="892" ht="14.1" customHeight="1" x14ac:dyDescent="0.2"/>
    <row r="893" ht="14.1" customHeight="1" x14ac:dyDescent="0.2"/>
    <row r="894" ht="14.1" customHeight="1" x14ac:dyDescent="0.2"/>
    <row r="895" ht="14.1" customHeight="1" x14ac:dyDescent="0.2"/>
    <row r="896" ht="14.1" customHeight="1" x14ac:dyDescent="0.2"/>
    <row r="897" ht="14.1" customHeight="1" x14ac:dyDescent="0.2"/>
    <row r="898" ht="14.1" customHeight="1" x14ac:dyDescent="0.2"/>
    <row r="899" ht="14.1" customHeight="1" x14ac:dyDescent="0.2"/>
    <row r="900" ht="14.1" customHeight="1" x14ac:dyDescent="0.2"/>
    <row r="901" ht="14.1" customHeight="1" x14ac:dyDescent="0.2"/>
    <row r="902" ht="14.1" customHeight="1" x14ac:dyDescent="0.2"/>
    <row r="903" ht="14.1" customHeight="1" x14ac:dyDescent="0.2"/>
    <row r="904" ht="14.1" customHeight="1" x14ac:dyDescent="0.2"/>
    <row r="905" ht="14.1" customHeight="1" x14ac:dyDescent="0.2"/>
    <row r="906" ht="14.1" customHeight="1" x14ac:dyDescent="0.2"/>
    <row r="907" ht="14.1" customHeight="1" x14ac:dyDescent="0.2"/>
    <row r="908" ht="14.1" customHeight="1" x14ac:dyDescent="0.2"/>
    <row r="909" ht="14.1" customHeight="1" x14ac:dyDescent="0.2"/>
    <row r="910" ht="14.1" customHeight="1" x14ac:dyDescent="0.2"/>
    <row r="911" ht="14.1" customHeight="1" x14ac:dyDescent="0.2"/>
    <row r="912" ht="14.1" customHeight="1" x14ac:dyDescent="0.2"/>
    <row r="913" ht="14.1" customHeight="1" x14ac:dyDescent="0.2"/>
    <row r="914" ht="14.1" customHeight="1" x14ac:dyDescent="0.2"/>
    <row r="915" ht="14.1" customHeight="1" x14ac:dyDescent="0.2"/>
    <row r="916" ht="14.1" customHeight="1" x14ac:dyDescent="0.2"/>
    <row r="917" ht="14.1" customHeight="1" x14ac:dyDescent="0.2"/>
    <row r="918" ht="14.1" customHeight="1" x14ac:dyDescent="0.2"/>
    <row r="919" ht="14.1" customHeight="1" x14ac:dyDescent="0.2"/>
    <row r="920" ht="14.1" customHeight="1" x14ac:dyDescent="0.2"/>
    <row r="921" ht="14.1" customHeight="1" x14ac:dyDescent="0.2"/>
    <row r="922" ht="14.1" customHeight="1" x14ac:dyDescent="0.2"/>
    <row r="923" ht="14.1" customHeight="1" x14ac:dyDescent="0.2"/>
    <row r="924" ht="14.1" customHeight="1" x14ac:dyDescent="0.2"/>
    <row r="925" ht="14.1" customHeight="1" x14ac:dyDescent="0.2"/>
    <row r="926" ht="14.1" customHeight="1" x14ac:dyDescent="0.2"/>
    <row r="927" ht="14.1" customHeight="1" x14ac:dyDescent="0.2"/>
    <row r="928" ht="14.1" customHeight="1" x14ac:dyDescent="0.2"/>
    <row r="929" ht="14.1" customHeight="1" x14ac:dyDescent="0.2"/>
    <row r="930" ht="14.1" customHeight="1" x14ac:dyDescent="0.2"/>
    <row r="931" ht="14.1" customHeight="1" x14ac:dyDescent="0.2"/>
    <row r="932" ht="14.1" customHeight="1" x14ac:dyDescent="0.2"/>
    <row r="933" ht="14.1" customHeight="1" x14ac:dyDescent="0.2"/>
    <row r="934" ht="14.1" customHeight="1" x14ac:dyDescent="0.2"/>
    <row r="935" ht="14.1" customHeight="1" x14ac:dyDescent="0.2"/>
    <row r="936" ht="14.1" customHeight="1" x14ac:dyDescent="0.2"/>
    <row r="937" ht="14.1" customHeight="1" x14ac:dyDescent="0.2"/>
    <row r="938" ht="14.1" customHeight="1" x14ac:dyDescent="0.2"/>
    <row r="939" ht="14.1" customHeight="1" x14ac:dyDescent="0.2"/>
    <row r="940" ht="14.1" customHeight="1" x14ac:dyDescent="0.2"/>
    <row r="941" ht="14.1" customHeight="1" x14ac:dyDescent="0.2"/>
    <row r="942" ht="14.1" customHeight="1" x14ac:dyDescent="0.2"/>
    <row r="943" ht="14.1" customHeight="1" x14ac:dyDescent="0.2"/>
    <row r="944" ht="14.1" customHeight="1" x14ac:dyDescent="0.2"/>
    <row r="945" ht="14.1" customHeight="1" x14ac:dyDescent="0.2"/>
    <row r="946" ht="14.1" customHeight="1" x14ac:dyDescent="0.2"/>
    <row r="947" ht="14.1" customHeight="1" x14ac:dyDescent="0.2"/>
    <row r="948" ht="14.1" customHeight="1" x14ac:dyDescent="0.2"/>
    <row r="949" ht="14.1" customHeight="1" x14ac:dyDescent="0.2"/>
    <row r="950" ht="14.1" customHeight="1" x14ac:dyDescent="0.2"/>
    <row r="951" ht="14.1" customHeight="1" x14ac:dyDescent="0.2"/>
    <row r="952" ht="14.1" customHeight="1" x14ac:dyDescent="0.2"/>
    <row r="953" ht="14.1" customHeight="1" x14ac:dyDescent="0.2"/>
    <row r="954" ht="14.1" customHeight="1" x14ac:dyDescent="0.2"/>
    <row r="955" ht="14.1" customHeight="1" x14ac:dyDescent="0.2"/>
    <row r="956" ht="14.1" customHeight="1" x14ac:dyDescent="0.2"/>
    <row r="957" ht="14.1" customHeight="1" x14ac:dyDescent="0.2"/>
    <row r="958" ht="14.1" customHeight="1" x14ac:dyDescent="0.2"/>
    <row r="959" ht="14.1" customHeight="1" x14ac:dyDescent="0.2"/>
    <row r="960" ht="14.1" customHeight="1" x14ac:dyDescent="0.2"/>
    <row r="961" ht="14.1" customHeight="1" x14ac:dyDescent="0.2"/>
    <row r="962" ht="14.1" customHeight="1" x14ac:dyDescent="0.2"/>
    <row r="963" ht="14.1" customHeight="1" x14ac:dyDescent="0.2"/>
    <row r="964" ht="14.1" customHeight="1" x14ac:dyDescent="0.2"/>
    <row r="965" ht="14.1" customHeight="1" x14ac:dyDescent="0.2"/>
    <row r="966" ht="14.1" customHeight="1" x14ac:dyDescent="0.2"/>
    <row r="967" ht="14.1" customHeight="1" x14ac:dyDescent="0.2"/>
    <row r="968" ht="14.1" customHeight="1" x14ac:dyDescent="0.2"/>
    <row r="969" ht="14.1" customHeight="1" x14ac:dyDescent="0.2"/>
    <row r="970" ht="14.1" customHeight="1" x14ac:dyDescent="0.2"/>
    <row r="971" ht="14.1" customHeight="1" x14ac:dyDescent="0.2"/>
    <row r="972" ht="14.1" customHeight="1" x14ac:dyDescent="0.2"/>
    <row r="973" ht="14.1" customHeight="1" x14ac:dyDescent="0.2"/>
    <row r="974" ht="14.1" customHeight="1" x14ac:dyDescent="0.2"/>
    <row r="975" ht="14.1" customHeight="1" x14ac:dyDescent="0.2"/>
    <row r="976" ht="14.1" customHeight="1" x14ac:dyDescent="0.2"/>
    <row r="977" ht="14.1" customHeight="1" x14ac:dyDescent="0.2"/>
    <row r="978" ht="14.1" customHeight="1" x14ac:dyDescent="0.2"/>
    <row r="979" ht="14.1" customHeight="1" x14ac:dyDescent="0.2"/>
    <row r="980" ht="14.1" customHeight="1" x14ac:dyDescent="0.2"/>
    <row r="981" ht="14.1" customHeight="1" x14ac:dyDescent="0.2"/>
    <row r="982" ht="14.1" customHeight="1" x14ac:dyDescent="0.2"/>
    <row r="983" ht="14.1" customHeight="1" x14ac:dyDescent="0.2"/>
    <row r="984" ht="14.1" customHeight="1" x14ac:dyDescent="0.2"/>
    <row r="985" ht="14.1" customHeight="1" x14ac:dyDescent="0.2"/>
    <row r="986" ht="14.1" customHeight="1" x14ac:dyDescent="0.2"/>
    <row r="987" ht="14.1" customHeight="1" x14ac:dyDescent="0.2"/>
    <row r="988" ht="14.1" customHeight="1" x14ac:dyDescent="0.2"/>
    <row r="989" ht="14.1" customHeight="1" x14ac:dyDescent="0.2"/>
    <row r="990" ht="14.1" customHeight="1" x14ac:dyDescent="0.2"/>
    <row r="991" ht="14.1" customHeight="1" x14ac:dyDescent="0.2"/>
    <row r="992" ht="14.1" customHeight="1" x14ac:dyDescent="0.2"/>
    <row r="993" ht="14.1" customHeight="1" x14ac:dyDescent="0.2"/>
    <row r="994" ht="14.1" customHeight="1" x14ac:dyDescent="0.2"/>
    <row r="995" ht="14.1" customHeight="1" x14ac:dyDescent="0.2"/>
    <row r="996" ht="14.1" customHeight="1" x14ac:dyDescent="0.2"/>
    <row r="997" ht="14.1" customHeight="1" x14ac:dyDescent="0.2"/>
    <row r="998" ht="14.1" customHeight="1" x14ac:dyDescent="0.2"/>
    <row r="999" ht="14.1" customHeight="1" x14ac:dyDescent="0.2"/>
    <row r="1000" ht="14.1" customHeight="1" x14ac:dyDescent="0.2"/>
  </sheetData>
  <sheetProtection selectLockedCells="1"/>
  <mergeCells count="146">
    <mergeCell ref="B432:H432"/>
    <mergeCell ref="I432:K432"/>
    <mergeCell ref="L432:N432"/>
    <mergeCell ref="O432:Q432"/>
    <mergeCell ref="L357:N357"/>
    <mergeCell ref="O357:Q357"/>
    <mergeCell ref="B382:H382"/>
    <mergeCell ref="I382:K382"/>
    <mergeCell ref="L382:N382"/>
    <mergeCell ref="O382:Q382"/>
    <mergeCell ref="B407:H407"/>
    <mergeCell ref="I407:K407"/>
    <mergeCell ref="L407:N407"/>
    <mergeCell ref="O407:Q407"/>
    <mergeCell ref="L257:N257"/>
    <mergeCell ref="O257:Q257"/>
    <mergeCell ref="B282:H282"/>
    <mergeCell ref="I282:K282"/>
    <mergeCell ref="L282:N282"/>
    <mergeCell ref="O282:Q282"/>
    <mergeCell ref="B307:H307"/>
    <mergeCell ref="I307:K307"/>
    <mergeCell ref="L307:N307"/>
    <mergeCell ref="O307:Q307"/>
    <mergeCell ref="B7:H7"/>
    <mergeCell ref="I7:K7"/>
    <mergeCell ref="L7:N7"/>
    <mergeCell ref="O7:Q7"/>
    <mergeCell ref="B32:H32"/>
    <mergeCell ref="I32:K32"/>
    <mergeCell ref="L32:N32"/>
    <mergeCell ref="O32:Q32"/>
    <mergeCell ref="B57:H57"/>
    <mergeCell ref="I57:K57"/>
    <mergeCell ref="L57:N57"/>
    <mergeCell ref="O57:Q57"/>
    <mergeCell ref="B82:H82"/>
    <mergeCell ref="I82:K82"/>
    <mergeCell ref="L82:N82"/>
    <mergeCell ref="O82:Q82"/>
    <mergeCell ref="B107:H107"/>
    <mergeCell ref="I107:K107"/>
    <mergeCell ref="L107:N107"/>
    <mergeCell ref="O107:Q107"/>
    <mergeCell ref="B132:H132"/>
    <mergeCell ref="A439:AC442"/>
    <mergeCell ref="A444:AC451"/>
    <mergeCell ref="A414:AC417"/>
    <mergeCell ref="A419:AC426"/>
    <mergeCell ref="A427:AJ427"/>
    <mergeCell ref="A428:AC431"/>
    <mergeCell ref="A389:AC392"/>
    <mergeCell ref="A394:AC401"/>
    <mergeCell ref="A402:AJ402"/>
    <mergeCell ref="A403:AC406"/>
    <mergeCell ref="A364:AC367"/>
    <mergeCell ref="A369:AC376"/>
    <mergeCell ref="A377:AJ377"/>
    <mergeCell ref="A378:AC381"/>
    <mergeCell ref="A339:AC342"/>
    <mergeCell ref="A344:AC351"/>
    <mergeCell ref="A352:AJ352"/>
    <mergeCell ref="A353:AC356"/>
    <mergeCell ref="A314:AC317"/>
    <mergeCell ref="A319:AC326"/>
    <mergeCell ref="A327:AJ327"/>
    <mergeCell ref="A328:AC331"/>
    <mergeCell ref="B332:H332"/>
    <mergeCell ref="I332:K332"/>
    <mergeCell ref="L332:N332"/>
    <mergeCell ref="O332:Q332"/>
    <mergeCell ref="B357:H357"/>
    <mergeCell ref="I357:K357"/>
    <mergeCell ref="A289:AC292"/>
    <mergeCell ref="A294:AC301"/>
    <mergeCell ref="A302:AJ302"/>
    <mergeCell ref="A303:AC306"/>
    <mergeCell ref="A264:AC267"/>
    <mergeCell ref="A269:AC276"/>
    <mergeCell ref="A277:AJ277"/>
    <mergeCell ref="A278:AC281"/>
    <mergeCell ref="A239:AC242"/>
    <mergeCell ref="A244:AC251"/>
    <mergeCell ref="A252:AJ252"/>
    <mergeCell ref="A253:AC256"/>
    <mergeCell ref="A214:AC217"/>
    <mergeCell ref="A219:AC226"/>
    <mergeCell ref="A227:AJ227"/>
    <mergeCell ref="A228:AC231"/>
    <mergeCell ref="B232:H232"/>
    <mergeCell ref="I232:K232"/>
    <mergeCell ref="L232:N232"/>
    <mergeCell ref="O232:Q232"/>
    <mergeCell ref="B257:H257"/>
    <mergeCell ref="I257:K257"/>
    <mergeCell ref="A189:AC192"/>
    <mergeCell ref="A194:AC201"/>
    <mergeCell ref="A202:AJ202"/>
    <mergeCell ref="A203:AC206"/>
    <mergeCell ref="A164:AC167"/>
    <mergeCell ref="A169:AC176"/>
    <mergeCell ref="A177:AJ177"/>
    <mergeCell ref="A178:AC181"/>
    <mergeCell ref="B182:H182"/>
    <mergeCell ref="I182:K182"/>
    <mergeCell ref="L182:N182"/>
    <mergeCell ref="O182:Q182"/>
    <mergeCell ref="B207:H207"/>
    <mergeCell ref="I207:K207"/>
    <mergeCell ref="L207:N207"/>
    <mergeCell ref="O207:Q207"/>
    <mergeCell ref="A139:AC142"/>
    <mergeCell ref="A144:AC151"/>
    <mergeCell ref="A152:AJ152"/>
    <mergeCell ref="A153:AC156"/>
    <mergeCell ref="A114:AC117"/>
    <mergeCell ref="A119:AC126"/>
    <mergeCell ref="A127:AJ127"/>
    <mergeCell ref="A128:AC131"/>
    <mergeCell ref="I132:K132"/>
    <mergeCell ref="L132:N132"/>
    <mergeCell ref="O132:Q132"/>
    <mergeCell ref="B157:H157"/>
    <mergeCell ref="I157:K157"/>
    <mergeCell ref="L157:N157"/>
    <mergeCell ref="O157:Q157"/>
    <mergeCell ref="A89:AC92"/>
    <mergeCell ref="A94:AC101"/>
    <mergeCell ref="A102:AJ102"/>
    <mergeCell ref="A103:AC106"/>
    <mergeCell ref="A64:AC67"/>
    <mergeCell ref="A69:AC76"/>
    <mergeCell ref="A77:AJ77"/>
    <mergeCell ref="A78:AC81"/>
    <mergeCell ref="A53:AC56"/>
    <mergeCell ref="A14:AC17"/>
    <mergeCell ref="A19:AC26"/>
    <mergeCell ref="A27:AJ27"/>
    <mergeCell ref="A28:AC31"/>
    <mergeCell ref="A2:AJ2"/>
    <mergeCell ref="A3:AC6"/>
    <mergeCell ref="A39:AC42"/>
    <mergeCell ref="A44:AC51"/>
    <mergeCell ref="A52:AJ52"/>
    <mergeCell ref="B1:I1"/>
    <mergeCell ref="L1:W1"/>
  </mergeCells>
  <conditionalFormatting sqref="A1">
    <cfRule type="cellIs" dxfId="15" priority="1" stopIfTrue="1" operator="equal">
      <formula>"Select Unit"</formula>
    </cfRule>
  </conditionalFormatting>
  <dataValidations count="1">
    <dataValidation type="list" allowBlank="1" showInputMessage="1" showErrorMessage="1" sqref="A1">
      <formula1>"Select Unit,Unit 1,Unit 2,Unit 3,Unit 4,Unit 5,Unit 6,Unit 7,Unit 8,Unit 9"</formula1>
    </dataValidation>
  </dataValidations>
  <pageMargins left="0.7" right="0.7" top="0.75" bottom="0.75" header="0.3" footer="0.3"/>
  <pageSetup scale="78" orientation="landscape" r:id="rId1"/>
  <rowBreaks count="19" manualBreakCount="19">
    <brk id="1" max="16383" man="1"/>
    <brk id="26" max="16383" man="1"/>
    <brk id="51" max="16383" man="1"/>
    <brk id="76" max="16383" man="1"/>
    <brk id="101" max="16383" man="1"/>
    <brk id="126" max="16383" man="1"/>
    <brk id="151" max="16383" man="1"/>
    <brk id="176" max="16383" man="1"/>
    <brk id="201" max="16383" man="1"/>
    <brk id="226" max="16383" man="1"/>
    <brk id="251" max="16383" man="1"/>
    <brk id="276" max="16383" man="1"/>
    <brk id="301" max="16383" man="1"/>
    <brk id="326" max="16383" man="1"/>
    <brk id="351" max="16383" man="1"/>
    <brk id="376" max="16383" man="1"/>
    <brk id="401" max="16383" man="1"/>
    <brk id="426" max="16383" man="1"/>
    <brk id="451" max="16383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Info!F2:F13</xm:f>
          </x14:formula1>
          <xm:sqref>A1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73"/>
  <sheetViews>
    <sheetView showGridLines="0" zoomScaleNormal="100" workbookViewId="0">
      <selection activeCell="B6" sqref="B6"/>
    </sheetView>
  </sheetViews>
  <sheetFormatPr defaultColWidth="8.85546875" defaultRowHeight="12.75" x14ac:dyDescent="0.2"/>
  <cols>
    <col min="1" max="1" width="16.42578125" style="35" customWidth="1"/>
    <col min="2" max="2" width="4.85546875" style="35" customWidth="1"/>
    <col min="3" max="9" width="6.28515625" style="35" customWidth="1"/>
    <col min="10" max="10" width="8.42578125" style="35" customWidth="1"/>
    <col min="11" max="11" width="5.85546875" style="35" customWidth="1"/>
    <col min="12" max="13" width="4.42578125" style="35" customWidth="1"/>
    <col min="14" max="14" width="5.28515625" style="35" customWidth="1"/>
    <col min="15" max="15" width="43.85546875" style="35" bestFit="1" customWidth="1"/>
    <col min="16" max="16384" width="8.85546875" style="35"/>
  </cols>
  <sheetData>
    <row r="1" spans="1:15" ht="51" customHeight="1" thickTop="1" thickBot="1" x14ac:dyDescent="0.25">
      <c r="A1" s="51" t="str">
        <f>IF(Info!B1&lt;&gt;0,Info!B1,"Please fill out info sheet")</f>
        <v>Ms. Johnston</v>
      </c>
      <c r="B1" s="50"/>
      <c r="C1" s="101" t="s">
        <v>71</v>
      </c>
      <c r="D1" s="101"/>
      <c r="E1" s="101"/>
      <c r="F1" s="101"/>
      <c r="G1" s="101"/>
      <c r="H1" s="101"/>
      <c r="I1" s="102"/>
      <c r="J1" s="103">
        <f>IF(AND(COUNTA(class_list)&lt;&gt;0,SUM(C6:K51)&lt;&gt;0),AVERAGE(C6:K51), "N/A")</f>
        <v>0.89519284989819758</v>
      </c>
      <c r="K1" s="103"/>
      <c r="L1" s="104" t="s">
        <v>31</v>
      </c>
      <c r="M1" s="105"/>
      <c r="N1" s="106"/>
    </row>
    <row r="2" spans="1:15" ht="20.25" thickTop="1" thickBot="1" x14ac:dyDescent="0.25">
      <c r="A2" s="49" t="s">
        <v>70</v>
      </c>
      <c r="B2" s="107" t="s">
        <v>69</v>
      </c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8"/>
    </row>
    <row r="3" spans="1:15" ht="24.75" thickTop="1" thickBot="1" x14ac:dyDescent="0.25">
      <c r="A3" s="48"/>
      <c r="B3" s="47"/>
      <c r="C3" s="109" t="s">
        <v>68</v>
      </c>
      <c r="D3" s="110"/>
      <c r="E3" s="110"/>
      <c r="F3" s="110"/>
      <c r="G3" s="110"/>
      <c r="H3" s="110"/>
      <c r="I3" s="110"/>
      <c r="J3" s="110"/>
      <c r="K3" s="110"/>
      <c r="L3" s="109" t="s">
        <v>67</v>
      </c>
      <c r="M3" s="111"/>
      <c r="N3" s="112"/>
    </row>
    <row r="4" spans="1:15" ht="55.5" customHeight="1" thickTop="1" x14ac:dyDescent="0.2">
      <c r="A4" s="46"/>
      <c r="B4" s="45" t="s">
        <v>66</v>
      </c>
      <c r="C4" s="44" t="s">
        <v>9</v>
      </c>
      <c r="D4" s="43" t="s">
        <v>16</v>
      </c>
      <c r="E4" s="43" t="s">
        <v>6</v>
      </c>
      <c r="F4" s="43" t="s">
        <v>7</v>
      </c>
      <c r="G4" s="43" t="s">
        <v>8</v>
      </c>
      <c r="H4" s="43" t="s">
        <v>11</v>
      </c>
      <c r="I4" s="43" t="s">
        <v>10</v>
      </c>
      <c r="J4" s="43" t="s">
        <v>12</v>
      </c>
      <c r="K4" s="43" t="s">
        <v>13</v>
      </c>
      <c r="L4" s="42" t="s">
        <v>65</v>
      </c>
      <c r="M4" s="41" t="s">
        <v>64</v>
      </c>
      <c r="N4" s="40" t="s">
        <v>63</v>
      </c>
    </row>
    <row r="5" spans="1:15" ht="15.75" x14ac:dyDescent="0.2">
      <c r="A5" s="52" t="s">
        <v>0</v>
      </c>
      <c r="B5" s="53"/>
      <c r="C5" s="54"/>
      <c r="D5" s="55"/>
      <c r="E5" s="55"/>
      <c r="F5" s="55"/>
      <c r="G5" s="55"/>
      <c r="H5" s="55"/>
      <c r="I5" s="55"/>
      <c r="J5" s="55"/>
      <c r="K5" s="55"/>
      <c r="L5" s="56">
        <v>100</v>
      </c>
      <c r="M5" s="57">
        <v>100</v>
      </c>
      <c r="N5" s="58">
        <v>100</v>
      </c>
      <c r="O5" s="39"/>
    </row>
    <row r="6" spans="1:15" ht="15.75" x14ac:dyDescent="0.25">
      <c r="A6" s="38" t="str">
        <f>(IF(Info!$B3&lt;&gt;"",Info!$B3,""))</f>
        <v>Cal Ripkin</v>
      </c>
      <c r="B6" s="31"/>
      <c r="C6" s="37">
        <f>'Unit 1'!S6</f>
        <v>0.6</v>
      </c>
      <c r="D6" s="37">
        <f>'Unit 2'!Q6</f>
        <v>0.93103448275862066</v>
      </c>
      <c r="E6" s="37">
        <f>'Unit 3'!S6</f>
        <v>1</v>
      </c>
      <c r="F6" s="37" t="str">
        <f>'Unit 4'!Q6</f>
        <v/>
      </c>
      <c r="G6" s="37">
        <f>'Unit 5'!S6</f>
        <v>0.78947368421052633</v>
      </c>
      <c r="H6" s="37">
        <f>'Unit 6'!V6</f>
        <v>0.91891891891891897</v>
      </c>
      <c r="I6" s="37">
        <f>'Unit 7'!Q6</f>
        <v>0.94117647058823528</v>
      </c>
      <c r="J6" s="37" t="str">
        <f>'Unit 8'!W6</f>
        <v/>
      </c>
      <c r="K6" s="37" t="str">
        <f>'Unit 9'!N6</f>
        <v/>
      </c>
      <c r="L6" s="33"/>
      <c r="M6" s="33"/>
      <c r="N6" s="33"/>
    </row>
    <row r="7" spans="1:15" ht="15.75" x14ac:dyDescent="0.25">
      <c r="A7" s="38" t="str">
        <f>(IF(Info!$B4&lt;&gt;"",Info!$B4,""))</f>
        <v>Brooks Robinson</v>
      </c>
      <c r="B7" s="31"/>
      <c r="C7" s="37">
        <f>'Unit 1'!S7</f>
        <v>0.93333333333333335</v>
      </c>
      <c r="D7" s="37">
        <f>'Unit 2'!Q7</f>
        <v>0.96551724137931039</v>
      </c>
      <c r="E7" s="37">
        <f>'Unit 3'!S7</f>
        <v>0.94444444444444442</v>
      </c>
      <c r="F7" s="37">
        <f>'Unit 4'!Q7</f>
        <v>0.8</v>
      </c>
      <c r="G7" s="37">
        <f>'Unit 5'!S7</f>
        <v>0.84210526315789469</v>
      </c>
      <c r="H7" s="37">
        <f>'Unit 6'!V7</f>
        <v>0.97297297297297303</v>
      </c>
      <c r="I7" s="37">
        <f>'Unit 7'!Q7</f>
        <v>0.94117647058823528</v>
      </c>
      <c r="J7" s="37" t="str">
        <f>'Unit 8'!W7</f>
        <v/>
      </c>
      <c r="K7" s="37" t="str">
        <f>'Unit 9'!N7</f>
        <v/>
      </c>
      <c r="L7" s="33"/>
      <c r="M7" s="33"/>
      <c r="N7" s="33"/>
    </row>
    <row r="8" spans="1:15" ht="15.75" x14ac:dyDescent="0.25">
      <c r="A8" s="38" t="str">
        <f>(IF(Info!$B5&lt;&gt;"",Info!$B5,""))</f>
        <v>Frank Robinson</v>
      </c>
      <c r="B8" s="31"/>
      <c r="C8" s="37">
        <f>'Unit 1'!S8</f>
        <v>0.73333333333333328</v>
      </c>
      <c r="D8" s="37">
        <f>'Unit 2'!Q8</f>
        <v>0.82758620689655171</v>
      </c>
      <c r="E8" s="37">
        <f>'Unit 3'!S8</f>
        <v>1</v>
      </c>
      <c r="F8" s="37">
        <f>'Unit 4'!Q8</f>
        <v>1</v>
      </c>
      <c r="G8" s="37">
        <f>'Unit 5'!S8</f>
        <v>0.94736842105263153</v>
      </c>
      <c r="H8" s="37">
        <f>'Unit 6'!V8</f>
        <v>0.97297297297297303</v>
      </c>
      <c r="I8" s="37">
        <f>'Unit 7'!Q8</f>
        <v>0.88235294117647056</v>
      </c>
      <c r="J8" s="37" t="str">
        <f>'Unit 8'!W8</f>
        <v/>
      </c>
      <c r="K8" s="37" t="str">
        <f>'Unit 9'!N8</f>
        <v/>
      </c>
      <c r="L8" s="33"/>
      <c r="M8" s="33"/>
      <c r="N8" s="33"/>
    </row>
    <row r="9" spans="1:15" ht="15.75" x14ac:dyDescent="0.25">
      <c r="A9" s="38" t="str">
        <f>(IF(Info!$B6&lt;&gt;"",Info!$B6,""))</f>
        <v>Jim Palmer</v>
      </c>
      <c r="B9" s="31"/>
      <c r="C9" s="37">
        <f>'Unit 1'!S9</f>
        <v>0.93333333333333335</v>
      </c>
      <c r="D9" s="37">
        <f>'Unit 2'!Q9</f>
        <v>0.96551724137931039</v>
      </c>
      <c r="E9" s="37">
        <f>'Unit 3'!S9</f>
        <v>0.94444444444444442</v>
      </c>
      <c r="F9" s="37">
        <f>'Unit 4'!Q9</f>
        <v>1</v>
      </c>
      <c r="G9" s="37">
        <f>'Unit 5'!S9</f>
        <v>1</v>
      </c>
      <c r="H9" s="37">
        <f>'Unit 6'!V9</f>
        <v>0.94594594594594594</v>
      </c>
      <c r="I9" s="37">
        <f>'Unit 7'!Q9</f>
        <v>0.94117647058823528</v>
      </c>
      <c r="J9" s="37" t="str">
        <f>'Unit 8'!W9</f>
        <v/>
      </c>
      <c r="K9" s="37" t="str">
        <f>'Unit 9'!N9</f>
        <v/>
      </c>
      <c r="L9" s="33"/>
      <c r="M9" s="33"/>
      <c r="N9" s="33"/>
    </row>
    <row r="10" spans="1:15" ht="15.75" x14ac:dyDescent="0.25">
      <c r="A10" s="38" t="str">
        <f>(IF(Info!$B7&lt;&gt;"",Info!$B7,""))</f>
        <v>Eddie Murray</v>
      </c>
      <c r="B10" s="31"/>
      <c r="C10" s="37">
        <f>'Unit 1'!S10</f>
        <v>0.66666666666666663</v>
      </c>
      <c r="D10" s="37">
        <f>'Unit 2'!Q10</f>
        <v>0.86206896551724133</v>
      </c>
      <c r="E10" s="37">
        <f>'Unit 3'!S10</f>
        <v>0.66666666666666663</v>
      </c>
      <c r="F10" s="37">
        <f>'Unit 4'!Q10</f>
        <v>1</v>
      </c>
      <c r="G10" s="37">
        <f>'Unit 5'!S10</f>
        <v>0.73684210526315785</v>
      </c>
      <c r="H10" s="37">
        <f>'Unit 6'!V10</f>
        <v>0.83783783783783783</v>
      </c>
      <c r="I10" s="37">
        <f>'Unit 7'!Q10</f>
        <v>1</v>
      </c>
      <c r="J10" s="37" t="str">
        <f>'Unit 8'!W10</f>
        <v/>
      </c>
      <c r="K10" s="37" t="str">
        <f>'Unit 9'!N10</f>
        <v/>
      </c>
      <c r="L10" s="33"/>
      <c r="M10" s="33"/>
      <c r="N10" s="33"/>
    </row>
    <row r="11" spans="1:15" ht="15.75" x14ac:dyDescent="0.25">
      <c r="A11" s="38" t="str">
        <f>(IF(Info!$B8&lt;&gt;"",Info!$B8,""))</f>
        <v>Manny Machado</v>
      </c>
      <c r="B11" s="31"/>
      <c r="C11" s="37">
        <f>'Unit 1'!S11</f>
        <v>1</v>
      </c>
      <c r="D11" s="37">
        <f>'Unit 2'!Q11</f>
        <v>0.96551724137931039</v>
      </c>
      <c r="E11" s="37">
        <f>'Unit 3'!S11</f>
        <v>0.94444444444444442</v>
      </c>
      <c r="F11" s="37">
        <f>'Unit 4'!Q11</f>
        <v>0.8</v>
      </c>
      <c r="G11" s="37">
        <f>'Unit 5'!S11</f>
        <v>0.94736842105263153</v>
      </c>
      <c r="H11" s="37">
        <f>'Unit 6'!V11</f>
        <v>0.86486486486486491</v>
      </c>
      <c r="I11" s="37">
        <f>'Unit 7'!Q11</f>
        <v>0.88235294117647056</v>
      </c>
      <c r="J11" s="37" t="str">
        <f>'Unit 8'!W11</f>
        <v/>
      </c>
      <c r="K11" s="37" t="str">
        <f>'Unit 9'!N11</f>
        <v/>
      </c>
      <c r="L11" s="33"/>
      <c r="M11" s="33"/>
      <c r="N11" s="33"/>
    </row>
    <row r="12" spans="1:15" ht="15.75" x14ac:dyDescent="0.25">
      <c r="A12" s="38" t="str">
        <f>(IF(Info!$B9&lt;&gt;"",Info!$B9,""))</f>
        <v>Boog Powell</v>
      </c>
      <c r="B12" s="31"/>
      <c r="C12" s="37">
        <f>'Unit 1'!S12</f>
        <v>1</v>
      </c>
      <c r="D12" s="37">
        <f>'Unit 2'!Q12</f>
        <v>1</v>
      </c>
      <c r="E12" s="37">
        <f>'Unit 3'!S12</f>
        <v>1</v>
      </c>
      <c r="F12" s="37">
        <f>'Unit 4'!Q12</f>
        <v>0.93333333333333335</v>
      </c>
      <c r="G12" s="37">
        <f>'Unit 5'!S12</f>
        <v>0.89473684210526316</v>
      </c>
      <c r="H12" s="37">
        <f>'Unit 6'!V12</f>
        <v>1.1351351351351351</v>
      </c>
      <c r="I12" s="37">
        <f>'Unit 7'!Q12</f>
        <v>0.94117647058823528</v>
      </c>
      <c r="J12" s="37" t="str">
        <f>'Unit 8'!W12</f>
        <v/>
      </c>
      <c r="K12" s="37" t="str">
        <f>'Unit 9'!N12</f>
        <v/>
      </c>
      <c r="L12" s="33"/>
      <c r="M12" s="33"/>
      <c r="N12" s="33"/>
    </row>
    <row r="13" spans="1:15" ht="15.75" x14ac:dyDescent="0.25">
      <c r="A13" s="38" t="str">
        <f>(IF(Info!$B10&lt;&gt;"",Info!$B10,""))</f>
        <v>Brady Anderson</v>
      </c>
      <c r="B13" s="31"/>
      <c r="C13" s="37">
        <f>'Unit 1'!S13</f>
        <v>1</v>
      </c>
      <c r="D13" s="37">
        <f>'Unit 2'!Q13</f>
        <v>0.93103448275862066</v>
      </c>
      <c r="E13" s="37">
        <f>'Unit 3'!S13</f>
        <v>0.94444444444444442</v>
      </c>
      <c r="F13" s="37">
        <f>'Unit 4'!Q13</f>
        <v>1</v>
      </c>
      <c r="G13" s="37">
        <f>'Unit 5'!S13</f>
        <v>0.89473684210526316</v>
      </c>
      <c r="H13" s="37">
        <f>'Unit 6'!V13</f>
        <v>1</v>
      </c>
      <c r="I13" s="37">
        <f>'Unit 7'!Q13</f>
        <v>0.94117647058823528</v>
      </c>
      <c r="J13" s="37" t="str">
        <f>'Unit 8'!W13</f>
        <v/>
      </c>
      <c r="K13" s="37" t="str">
        <f>'Unit 9'!N13</f>
        <v/>
      </c>
      <c r="L13" s="33"/>
      <c r="M13" s="33"/>
      <c r="N13" s="33"/>
    </row>
    <row r="14" spans="1:15" ht="15.75" x14ac:dyDescent="0.25">
      <c r="A14" s="38" t="str">
        <f>(IF(Info!$B11&lt;&gt;"",Info!$B11,""))</f>
        <v>Rafael Palmero</v>
      </c>
      <c r="B14" s="31"/>
      <c r="C14" s="37">
        <f>'Unit 1'!S14</f>
        <v>1</v>
      </c>
      <c r="D14" s="37">
        <f>'Unit 2'!Q14</f>
        <v>0.93103448275862066</v>
      </c>
      <c r="E14" s="37">
        <f>'Unit 3'!S14</f>
        <v>0.94444444444444442</v>
      </c>
      <c r="F14" s="37">
        <f>'Unit 4'!Q14</f>
        <v>1</v>
      </c>
      <c r="G14" s="37">
        <f>'Unit 5'!S14</f>
        <v>0.94736842105263153</v>
      </c>
      <c r="H14" s="37">
        <f>'Unit 6'!V14</f>
        <v>0.97297297297297303</v>
      </c>
      <c r="I14" s="37">
        <f>'Unit 7'!Q14</f>
        <v>0.88235294117647056</v>
      </c>
      <c r="J14" s="37" t="str">
        <f>'Unit 8'!W14</f>
        <v/>
      </c>
      <c r="K14" s="37" t="str">
        <f>'Unit 9'!N14</f>
        <v/>
      </c>
      <c r="L14" s="33"/>
      <c r="M14" s="33"/>
      <c r="N14" s="33"/>
    </row>
    <row r="15" spans="1:15" ht="15.75" x14ac:dyDescent="0.25">
      <c r="A15" s="38" t="str">
        <f>(IF(Info!$B12&lt;&gt;"",Info!$B12,""))</f>
        <v>Melvin Mora</v>
      </c>
      <c r="B15" s="31"/>
      <c r="C15" s="37">
        <f>'Unit 1'!S15</f>
        <v>0.2</v>
      </c>
      <c r="D15" s="37">
        <f>'Unit 2'!Q15</f>
        <v>0.7931034482758621</v>
      </c>
      <c r="E15" s="37">
        <f>'Unit 3'!S15</f>
        <v>0.80555555555555558</v>
      </c>
      <c r="F15" s="37">
        <f>'Unit 4'!Q15</f>
        <v>0.8666666666666667</v>
      </c>
      <c r="G15" s="37">
        <f>'Unit 5'!S15</f>
        <v>0.68421052631578949</v>
      </c>
      <c r="H15" s="37">
        <f>'Unit 6'!V15</f>
        <v>0.86486486486486491</v>
      </c>
      <c r="I15" s="37">
        <f>'Unit 7'!Q15</f>
        <v>0.88235294117647056</v>
      </c>
      <c r="J15" s="37" t="str">
        <f>'Unit 8'!W15</f>
        <v/>
      </c>
      <c r="K15" s="37" t="str">
        <f>'Unit 9'!N15</f>
        <v/>
      </c>
      <c r="L15" s="33"/>
      <c r="M15" s="33"/>
      <c r="N15" s="33"/>
    </row>
    <row r="16" spans="1:15" ht="15.75" x14ac:dyDescent="0.25">
      <c r="A16" s="38" t="str">
        <f>(IF(Info!$B13&lt;&gt;"",Info!$B13,""))</f>
        <v>Dave McNally</v>
      </c>
      <c r="B16" s="31"/>
      <c r="C16" s="37">
        <f>'Unit 1'!S16</f>
        <v>1</v>
      </c>
      <c r="D16" s="37">
        <f>'Unit 2'!Q16</f>
        <v>0.89655172413793105</v>
      </c>
      <c r="E16" s="37">
        <f>'Unit 3'!S16</f>
        <v>0.94444444444444442</v>
      </c>
      <c r="F16" s="37">
        <f>'Unit 4'!Q16</f>
        <v>0.8</v>
      </c>
      <c r="G16" s="37">
        <f>'Unit 5'!S16</f>
        <v>0.89473684210526316</v>
      </c>
      <c r="H16" s="37">
        <f>'Unit 6'!V16</f>
        <v>0.83783783783783783</v>
      </c>
      <c r="I16" s="37">
        <f>'Unit 7'!Q16</f>
        <v>0.94117647058823528</v>
      </c>
      <c r="J16" s="37" t="str">
        <f>'Unit 8'!W16</f>
        <v/>
      </c>
      <c r="K16" s="37" t="str">
        <f>'Unit 9'!N16</f>
        <v/>
      </c>
      <c r="L16" s="33"/>
      <c r="M16" s="33"/>
      <c r="N16" s="33"/>
    </row>
    <row r="17" spans="1:14" ht="15.75" x14ac:dyDescent="0.25">
      <c r="A17" s="38" t="str">
        <f>(IF(Info!$B14&lt;&gt;"",Info!$B14,""))</f>
        <v>Ken Singleton</v>
      </c>
      <c r="B17" s="31"/>
      <c r="C17" s="37">
        <f>'Unit 1'!S17</f>
        <v>1</v>
      </c>
      <c r="D17" s="37">
        <f>'Unit 2'!Q17</f>
        <v>0.89655172413793105</v>
      </c>
      <c r="E17" s="37">
        <f>'Unit 3'!S17</f>
        <v>1</v>
      </c>
      <c r="F17" s="37">
        <f>'Unit 4'!Q17</f>
        <v>0.8666666666666667</v>
      </c>
      <c r="G17" s="37">
        <f>'Unit 5'!S17</f>
        <v>0.78947368421052633</v>
      </c>
      <c r="H17" s="37">
        <f>'Unit 6'!V17</f>
        <v>0.89189189189189189</v>
      </c>
      <c r="I17" s="37">
        <f>'Unit 7'!Q17</f>
        <v>0.88235294117647056</v>
      </c>
      <c r="J17" s="37" t="str">
        <f>'Unit 8'!W17</f>
        <v/>
      </c>
      <c r="K17" s="37" t="str">
        <f>'Unit 9'!N17</f>
        <v/>
      </c>
      <c r="L17" s="33"/>
      <c r="M17" s="33"/>
      <c r="N17" s="33"/>
    </row>
    <row r="18" spans="1:14" ht="15.75" x14ac:dyDescent="0.25">
      <c r="A18" s="38" t="str">
        <f>(IF(Info!$B15&lt;&gt;"",Info!$B15,""))</f>
        <v>Jonathan Schoop</v>
      </c>
      <c r="B18" s="31"/>
      <c r="C18" s="37">
        <f>'Unit 1'!S18</f>
        <v>0.8</v>
      </c>
      <c r="D18" s="37">
        <f>'Unit 2'!Q18</f>
        <v>0.89655172413793105</v>
      </c>
      <c r="E18" s="37">
        <f>'Unit 3'!S18</f>
        <v>1</v>
      </c>
      <c r="F18" s="37">
        <f>'Unit 4'!Q18</f>
        <v>0.8666666666666667</v>
      </c>
      <c r="G18" s="37">
        <f>'Unit 5'!S18</f>
        <v>0.84210526315789469</v>
      </c>
      <c r="H18" s="37">
        <f>'Unit 6'!V18</f>
        <v>0.91891891891891897</v>
      </c>
      <c r="I18" s="37">
        <f>'Unit 7'!Q18</f>
        <v>1</v>
      </c>
      <c r="J18" s="37" t="str">
        <f>'Unit 8'!W18</f>
        <v/>
      </c>
      <c r="K18" s="37" t="str">
        <f>'Unit 9'!N18</f>
        <v/>
      </c>
      <c r="L18" s="33"/>
      <c r="M18" s="33"/>
      <c r="N18" s="33"/>
    </row>
    <row r="19" spans="1:14" ht="15.75" x14ac:dyDescent="0.25">
      <c r="A19" s="38" t="str">
        <f>(IF(Info!$B16&lt;&gt;"",Info!$B16,""))</f>
        <v>Paul Blair</v>
      </c>
      <c r="B19" s="31"/>
      <c r="C19" s="37">
        <f>'Unit 1'!S19</f>
        <v>0.8666666666666667</v>
      </c>
      <c r="D19" s="37">
        <f>'Unit 2'!Q19</f>
        <v>1</v>
      </c>
      <c r="E19" s="37">
        <f>'Unit 3'!S19</f>
        <v>0.83333333333333337</v>
      </c>
      <c r="F19" s="37">
        <f>'Unit 4'!Q19</f>
        <v>0.93333333333333335</v>
      </c>
      <c r="G19" s="37">
        <f>'Unit 5'!S19</f>
        <v>0.84210526315789469</v>
      </c>
      <c r="H19" s="37">
        <f>'Unit 6'!V19</f>
        <v>0.94594594594594594</v>
      </c>
      <c r="I19" s="37">
        <f>'Unit 7'!Q19</f>
        <v>0.94117647058823528</v>
      </c>
      <c r="J19" s="37" t="str">
        <f>'Unit 8'!W19</f>
        <v/>
      </c>
      <c r="K19" s="37" t="str">
        <f>'Unit 9'!N19</f>
        <v/>
      </c>
      <c r="L19" s="33"/>
      <c r="M19" s="33"/>
      <c r="N19" s="33"/>
    </row>
    <row r="20" spans="1:14" ht="15.75" x14ac:dyDescent="0.25">
      <c r="A20" s="38" t="str">
        <f>(IF(Info!$B17&lt;&gt;"",Info!$B17,""))</f>
        <v>Mark Belanger</v>
      </c>
      <c r="B20" s="31"/>
      <c r="C20" s="37">
        <f>'Unit 1'!S20</f>
        <v>0.2</v>
      </c>
      <c r="D20" s="37">
        <f>'Unit 2'!Q20</f>
        <v>1</v>
      </c>
      <c r="E20" s="37">
        <f>'Unit 3'!S20</f>
        <v>0.88888888888888884</v>
      </c>
      <c r="F20" s="37">
        <f>'Unit 4'!Q20</f>
        <v>0.8666666666666667</v>
      </c>
      <c r="G20" s="37">
        <f>'Unit 5'!S20</f>
        <v>0.94736842105263153</v>
      </c>
      <c r="H20" s="37">
        <f>'Unit 6'!V20</f>
        <v>0.94594594594594594</v>
      </c>
      <c r="I20" s="37">
        <f>'Unit 7'!Q20</f>
        <v>1</v>
      </c>
      <c r="J20" s="37" t="str">
        <f>'Unit 8'!W20</f>
        <v/>
      </c>
      <c r="K20" s="37" t="str">
        <f>'Unit 9'!N20</f>
        <v/>
      </c>
      <c r="L20" s="33"/>
      <c r="M20" s="33"/>
      <c r="N20" s="33"/>
    </row>
    <row r="21" spans="1:14" ht="15.75" x14ac:dyDescent="0.25">
      <c r="A21" s="38" t="str">
        <f>(IF(Info!$B18&lt;&gt;"",Info!$B18,""))</f>
        <v>Davey Johnson</v>
      </c>
      <c r="B21" s="31"/>
      <c r="C21" s="37">
        <f>'Unit 1'!S21</f>
        <v>0.8</v>
      </c>
      <c r="D21" s="37">
        <f>'Unit 2'!Q21</f>
        <v>0.96551724137931039</v>
      </c>
      <c r="E21" s="37">
        <f>'Unit 3'!S21</f>
        <v>1</v>
      </c>
      <c r="F21" s="37">
        <f>'Unit 4'!Q21</f>
        <v>0.73333333333333328</v>
      </c>
      <c r="G21" s="37">
        <f>'Unit 5'!S21</f>
        <v>0.78947368421052633</v>
      </c>
      <c r="H21" s="37">
        <f>'Unit 6'!V21</f>
        <v>0.81081081081081086</v>
      </c>
      <c r="I21" s="37">
        <f>'Unit 7'!Q21</f>
        <v>0.88235294117647056</v>
      </c>
      <c r="J21" s="37" t="str">
        <f>'Unit 8'!W21</f>
        <v/>
      </c>
      <c r="K21" s="37" t="str">
        <f>'Unit 9'!N21</f>
        <v/>
      </c>
      <c r="L21" s="33"/>
      <c r="M21" s="33"/>
      <c r="N21" s="33"/>
    </row>
    <row r="22" spans="1:14" ht="15.75" x14ac:dyDescent="0.25">
      <c r="A22" s="38" t="str">
        <f>(IF(Info!$B19&lt;&gt;"",Info!$B19,""))</f>
        <v>Miguel Tejada</v>
      </c>
      <c r="B22" s="31"/>
      <c r="C22" s="37">
        <f>'Unit 1'!S22</f>
        <v>0.73333333333333328</v>
      </c>
      <c r="D22" s="37">
        <f>'Unit 2'!Q22</f>
        <v>0.75862068965517238</v>
      </c>
      <c r="E22" s="37">
        <f>'Unit 3'!S22</f>
        <v>0.88888888888888884</v>
      </c>
      <c r="F22" s="37">
        <f>'Unit 4'!Q22</f>
        <v>0.8</v>
      </c>
      <c r="G22" s="37">
        <f>'Unit 5'!S22</f>
        <v>0.78947368421052633</v>
      </c>
      <c r="H22" s="37">
        <f>'Unit 6'!V22</f>
        <v>0.89189189189189189</v>
      </c>
      <c r="I22" s="37">
        <f>'Unit 7'!Q22</f>
        <v>1</v>
      </c>
      <c r="J22" s="37" t="str">
        <f>'Unit 8'!W22</f>
        <v/>
      </c>
      <c r="K22" s="37" t="str">
        <f>'Unit 9'!N22</f>
        <v/>
      </c>
      <c r="L22" s="33"/>
      <c r="M22" s="33"/>
      <c r="N22" s="33"/>
    </row>
    <row r="23" spans="1:14" ht="15.75" x14ac:dyDescent="0.25">
      <c r="A23" s="38" t="str">
        <f>(IF(Info!$B20&lt;&gt;"",Info!$B20,""))</f>
        <v>Adam Jones</v>
      </c>
      <c r="B23" s="31"/>
      <c r="C23" s="37">
        <f>'Unit 1'!S23</f>
        <v>1</v>
      </c>
      <c r="D23" s="37">
        <f>'Unit 2'!Q23</f>
        <v>0.93103448275862066</v>
      </c>
      <c r="E23" s="37">
        <f>'Unit 3'!S23</f>
        <v>1</v>
      </c>
      <c r="F23" s="37">
        <f>'Unit 4'!Q23</f>
        <v>0.8666666666666667</v>
      </c>
      <c r="G23" s="37">
        <f>'Unit 5'!S23</f>
        <v>0.94736842105263153</v>
      </c>
      <c r="H23" s="37">
        <f>'Unit 6'!V23</f>
        <v>0.97297297297297303</v>
      </c>
      <c r="I23" s="37">
        <f>'Unit 7'!Q23</f>
        <v>0.88235294117647056</v>
      </c>
      <c r="J23" s="37" t="str">
        <f>'Unit 8'!W23</f>
        <v/>
      </c>
      <c r="K23" s="37" t="str">
        <f>'Unit 9'!N23</f>
        <v/>
      </c>
      <c r="L23" s="33"/>
      <c r="M23" s="33"/>
      <c r="N23" s="33"/>
    </row>
    <row r="24" spans="1:14" ht="15.75" x14ac:dyDescent="0.25">
      <c r="A24" s="38" t="str">
        <f>(IF(Info!$B21&lt;&gt;"",Info!$B21,""))</f>
        <v/>
      </c>
      <c r="B24" s="31"/>
      <c r="C24" s="37" t="str">
        <f>'Unit 1'!S24</f>
        <v/>
      </c>
      <c r="D24" s="37" t="str">
        <f>'Unit 2'!Q24</f>
        <v/>
      </c>
      <c r="E24" s="37" t="str">
        <f>'Unit 3'!S24</f>
        <v/>
      </c>
      <c r="F24" s="37">
        <f>'Unit 4'!Q24</f>
        <v>0.93333333333333335</v>
      </c>
      <c r="G24" s="37" t="str">
        <f>'Unit 5'!S24</f>
        <v/>
      </c>
      <c r="H24" s="37" t="str">
        <f>'Unit 6'!V24</f>
        <v/>
      </c>
      <c r="I24" s="37" t="str">
        <f>'Unit 7'!Q24</f>
        <v/>
      </c>
      <c r="J24" s="37" t="str">
        <f>'Unit 8'!W24</f>
        <v/>
      </c>
      <c r="K24" s="37" t="str">
        <f>'Unit 9'!N24</f>
        <v/>
      </c>
      <c r="L24" s="33"/>
      <c r="M24" s="33"/>
      <c r="N24" s="33"/>
    </row>
    <row r="25" spans="1:14" ht="15.75" x14ac:dyDescent="0.25">
      <c r="A25" s="38" t="str">
        <f>(IF(Info!$B22&lt;&gt;"",Info!$B22,""))</f>
        <v/>
      </c>
      <c r="B25" s="31"/>
      <c r="C25" s="37" t="str">
        <f>'Unit 1'!S25</f>
        <v/>
      </c>
      <c r="D25" s="37" t="str">
        <f>'Unit 2'!Q25</f>
        <v/>
      </c>
      <c r="E25" s="37" t="str">
        <f>'Unit 3'!S25</f>
        <v/>
      </c>
      <c r="F25" s="37" t="str">
        <f>'Unit 4'!Q25</f>
        <v/>
      </c>
      <c r="G25" s="37" t="str">
        <f>'Unit 5'!S25</f>
        <v/>
      </c>
      <c r="H25" s="37" t="str">
        <f>'Unit 6'!V25</f>
        <v/>
      </c>
      <c r="I25" s="37" t="str">
        <f>'Unit 7'!Q25</f>
        <v/>
      </c>
      <c r="J25" s="37" t="str">
        <f>'Unit 8'!W25</f>
        <v/>
      </c>
      <c r="K25" s="37" t="str">
        <f>'Unit 9'!N25</f>
        <v/>
      </c>
      <c r="L25" s="33"/>
      <c r="M25" s="33"/>
      <c r="N25" s="33"/>
    </row>
    <row r="26" spans="1:14" ht="15.75" x14ac:dyDescent="0.25">
      <c r="A26" s="38" t="str">
        <f>(IF(Info!$B23&lt;&gt;"",Info!$B23,""))</f>
        <v/>
      </c>
      <c r="B26" s="31"/>
      <c r="C26" s="37" t="str">
        <f>'Unit 1'!S26</f>
        <v/>
      </c>
      <c r="D26" s="37" t="str">
        <f>'Unit 2'!Q26</f>
        <v/>
      </c>
      <c r="E26" s="37" t="str">
        <f>'Unit 3'!S26</f>
        <v/>
      </c>
      <c r="F26" s="37" t="str">
        <f>'Unit 4'!Q26</f>
        <v/>
      </c>
      <c r="G26" s="37" t="str">
        <f>'Unit 5'!S26</f>
        <v/>
      </c>
      <c r="H26" s="37" t="str">
        <f>'Unit 6'!V26</f>
        <v/>
      </c>
      <c r="I26" s="37" t="str">
        <f>'Unit 7'!Q26</f>
        <v/>
      </c>
      <c r="J26" s="37" t="str">
        <f>'Unit 8'!W26</f>
        <v/>
      </c>
      <c r="K26" s="37" t="str">
        <f>'Unit 9'!N26</f>
        <v/>
      </c>
      <c r="L26" s="33"/>
      <c r="M26" s="33"/>
      <c r="N26" s="33"/>
    </row>
    <row r="27" spans="1:14" ht="15.75" x14ac:dyDescent="0.25">
      <c r="A27" s="38" t="str">
        <f>(IF(Info!$B24&lt;&gt;"",Info!$B24,""))</f>
        <v/>
      </c>
      <c r="B27" s="31"/>
      <c r="C27" s="37" t="str">
        <f>'Unit 1'!S27</f>
        <v/>
      </c>
      <c r="D27" s="37" t="str">
        <f>'Unit 2'!Q27</f>
        <v/>
      </c>
      <c r="E27" s="37" t="str">
        <f>'Unit 3'!S27</f>
        <v/>
      </c>
      <c r="F27" s="37" t="str">
        <f>'Unit 4'!Q27</f>
        <v/>
      </c>
      <c r="G27" s="37" t="str">
        <f>'Unit 5'!S27</f>
        <v/>
      </c>
      <c r="H27" s="37" t="str">
        <f>'Unit 6'!V27</f>
        <v/>
      </c>
      <c r="I27" s="37" t="str">
        <f>'Unit 7'!Q27</f>
        <v/>
      </c>
      <c r="J27" s="37" t="str">
        <f>'Unit 8'!W27</f>
        <v/>
      </c>
      <c r="K27" s="37" t="str">
        <f>'Unit 9'!N27</f>
        <v/>
      </c>
      <c r="L27" s="33"/>
      <c r="M27" s="33"/>
      <c r="N27" s="33"/>
    </row>
    <row r="28" spans="1:14" ht="15.75" x14ac:dyDescent="0.25">
      <c r="A28" s="38" t="str">
        <f>(IF(Info!$B25&lt;&gt;"",Info!$B25,""))</f>
        <v/>
      </c>
      <c r="B28" s="31"/>
      <c r="C28" s="37" t="str">
        <f>'Unit 1'!S28</f>
        <v/>
      </c>
      <c r="D28" s="37" t="str">
        <f>'Unit 2'!Q28</f>
        <v/>
      </c>
      <c r="E28" s="37" t="str">
        <f>'Unit 3'!S28</f>
        <v/>
      </c>
      <c r="F28" s="37" t="str">
        <f>'Unit 4'!Q28</f>
        <v/>
      </c>
      <c r="G28" s="37" t="str">
        <f>'Unit 5'!S28</f>
        <v/>
      </c>
      <c r="H28" s="37" t="str">
        <f>'Unit 6'!V28</f>
        <v/>
      </c>
      <c r="I28" s="37" t="str">
        <f>'Unit 7'!Q28</f>
        <v/>
      </c>
      <c r="J28" s="37" t="str">
        <f>'Unit 8'!W28</f>
        <v/>
      </c>
      <c r="K28" s="37" t="str">
        <f>'Unit 9'!N28</f>
        <v/>
      </c>
      <c r="L28" s="33"/>
      <c r="M28" s="33"/>
      <c r="N28" s="33"/>
    </row>
    <row r="29" spans="1:14" ht="15.75" x14ac:dyDescent="0.25">
      <c r="A29" s="38" t="str">
        <f>(IF(Info!$B26&lt;&gt;"",Info!$B26,""))</f>
        <v/>
      </c>
      <c r="B29" s="31"/>
      <c r="C29" s="37" t="str">
        <f>'Unit 1'!S29</f>
        <v/>
      </c>
      <c r="D29" s="37" t="str">
        <f>'Unit 2'!Q29</f>
        <v/>
      </c>
      <c r="E29" s="37" t="str">
        <f>'Unit 3'!S29</f>
        <v/>
      </c>
      <c r="F29" s="37" t="str">
        <f>'Unit 4'!Q29</f>
        <v/>
      </c>
      <c r="G29" s="37" t="str">
        <f>'Unit 5'!S29</f>
        <v/>
      </c>
      <c r="H29" s="37" t="str">
        <f>'Unit 6'!V29</f>
        <v/>
      </c>
      <c r="I29" s="37" t="str">
        <f>'Unit 7'!Q29</f>
        <v/>
      </c>
      <c r="J29" s="37" t="str">
        <f>'Unit 8'!W29</f>
        <v/>
      </c>
      <c r="K29" s="37" t="str">
        <f>'Unit 9'!N29</f>
        <v/>
      </c>
      <c r="L29" s="33"/>
      <c r="M29" s="33"/>
      <c r="N29" s="33"/>
    </row>
    <row r="30" spans="1:14" ht="15.75" x14ac:dyDescent="0.25">
      <c r="A30" s="38" t="str">
        <f>(IF(Info!$B27&lt;&gt;"",Info!$B27,""))</f>
        <v/>
      </c>
      <c r="B30" s="31"/>
      <c r="C30" s="37" t="str">
        <f>'Unit 1'!S30</f>
        <v/>
      </c>
      <c r="D30" s="37" t="str">
        <f>'Unit 2'!Q30</f>
        <v/>
      </c>
      <c r="E30" s="37" t="str">
        <f>'Unit 3'!S30</f>
        <v/>
      </c>
      <c r="F30" s="37" t="str">
        <f>'Unit 4'!Q30</f>
        <v/>
      </c>
      <c r="G30" s="37" t="str">
        <f>'Unit 5'!S30</f>
        <v/>
      </c>
      <c r="H30" s="37" t="str">
        <f>'Unit 6'!V30</f>
        <v/>
      </c>
      <c r="I30" s="37" t="str">
        <f>'Unit 7'!Q30</f>
        <v/>
      </c>
      <c r="J30" s="37" t="str">
        <f>'Unit 8'!W30</f>
        <v/>
      </c>
      <c r="K30" s="37" t="str">
        <f>'Unit 9'!N30</f>
        <v/>
      </c>
      <c r="L30" s="33"/>
      <c r="M30" s="33"/>
      <c r="N30" s="33"/>
    </row>
    <row r="31" spans="1:14" ht="15.75" x14ac:dyDescent="0.25">
      <c r="A31" s="38" t="str">
        <f>(IF(Info!$B28&lt;&gt;"",Info!$B28,""))</f>
        <v/>
      </c>
      <c r="B31" s="31"/>
      <c r="C31" s="37" t="str">
        <f>'Unit 1'!S31</f>
        <v/>
      </c>
      <c r="D31" s="37" t="str">
        <f>'Unit 2'!Q31</f>
        <v/>
      </c>
      <c r="E31" s="37" t="str">
        <f>'Unit 3'!S31</f>
        <v/>
      </c>
      <c r="F31" s="37" t="str">
        <f>'Unit 4'!Q31</f>
        <v/>
      </c>
      <c r="G31" s="37" t="str">
        <f>'Unit 5'!S31</f>
        <v/>
      </c>
      <c r="H31" s="37" t="str">
        <f>'Unit 6'!V31</f>
        <v/>
      </c>
      <c r="I31" s="37" t="str">
        <f>'Unit 7'!Q31</f>
        <v/>
      </c>
      <c r="J31" s="37" t="str">
        <f>'Unit 8'!W31</f>
        <v/>
      </c>
      <c r="K31" s="37" t="str">
        <f>'Unit 9'!N31</f>
        <v/>
      </c>
      <c r="L31" s="33"/>
      <c r="M31" s="33"/>
      <c r="N31" s="33"/>
    </row>
    <row r="32" spans="1:14" ht="15.75" x14ac:dyDescent="0.25">
      <c r="A32" s="38" t="str">
        <f>(IF(Info!$B29&lt;&gt;"",Info!$B29,""))</f>
        <v/>
      </c>
      <c r="B32" s="31"/>
      <c r="C32" s="37" t="str">
        <f>'Unit 1'!S32</f>
        <v/>
      </c>
      <c r="D32" s="37" t="str">
        <f>'Unit 2'!Q32</f>
        <v/>
      </c>
      <c r="E32" s="37" t="str">
        <f>'Unit 3'!S32</f>
        <v/>
      </c>
      <c r="F32" s="37" t="str">
        <f>'Unit 4'!Q32</f>
        <v/>
      </c>
      <c r="G32" s="37" t="str">
        <f>'Unit 5'!S32</f>
        <v/>
      </c>
      <c r="H32" s="37" t="str">
        <f>'Unit 6'!V32</f>
        <v/>
      </c>
      <c r="I32" s="37" t="str">
        <f>'Unit 7'!Q32</f>
        <v/>
      </c>
      <c r="J32" s="37" t="str">
        <f>'Unit 8'!W32</f>
        <v/>
      </c>
      <c r="K32" s="37" t="str">
        <f>'Unit 9'!N32</f>
        <v/>
      </c>
      <c r="L32" s="33"/>
      <c r="M32" s="33"/>
      <c r="N32" s="33"/>
    </row>
    <row r="33" spans="1:14" ht="15.75" x14ac:dyDescent="0.25">
      <c r="A33" s="38" t="str">
        <f>(IF(Info!$B30&lt;&gt;"",Info!$B30,""))</f>
        <v/>
      </c>
      <c r="B33" s="31"/>
      <c r="C33" s="37" t="str">
        <f>'Unit 1'!S33</f>
        <v/>
      </c>
      <c r="D33" s="37" t="str">
        <f>'Unit 2'!Q33</f>
        <v/>
      </c>
      <c r="E33" s="37" t="str">
        <f>'Unit 3'!S33</f>
        <v/>
      </c>
      <c r="F33" s="37" t="str">
        <f>'Unit 4'!Q33</f>
        <v/>
      </c>
      <c r="G33" s="37" t="str">
        <f>'Unit 5'!S33</f>
        <v/>
      </c>
      <c r="H33" s="37" t="str">
        <f>'Unit 6'!V33</f>
        <v/>
      </c>
      <c r="I33" s="37" t="str">
        <f>'Unit 7'!Q33</f>
        <v/>
      </c>
      <c r="J33" s="37" t="str">
        <f>'Unit 8'!W33</f>
        <v/>
      </c>
      <c r="K33" s="37" t="str">
        <f>'Unit 9'!N33</f>
        <v/>
      </c>
      <c r="L33" s="33"/>
      <c r="M33" s="33"/>
      <c r="N33" s="33"/>
    </row>
    <row r="34" spans="1:14" ht="15.75" x14ac:dyDescent="0.25">
      <c r="A34" s="38" t="str">
        <f>(IF(Info!$B31&lt;&gt;"",Info!$B31,""))</f>
        <v/>
      </c>
      <c r="B34" s="31"/>
      <c r="C34" s="37" t="str">
        <f>'Unit 1'!S34</f>
        <v/>
      </c>
      <c r="D34" s="37" t="str">
        <f>'Unit 2'!Q34</f>
        <v/>
      </c>
      <c r="E34" s="37" t="str">
        <f>'Unit 3'!S34</f>
        <v/>
      </c>
      <c r="F34" s="37" t="str">
        <f>'Unit 4'!Q34</f>
        <v/>
      </c>
      <c r="G34" s="37" t="str">
        <f>'Unit 5'!S34</f>
        <v/>
      </c>
      <c r="H34" s="37" t="str">
        <f>'Unit 6'!V34</f>
        <v/>
      </c>
      <c r="I34" s="37" t="str">
        <f>'Unit 7'!Q34</f>
        <v/>
      </c>
      <c r="J34" s="37" t="str">
        <f>'Unit 8'!W34</f>
        <v/>
      </c>
      <c r="K34" s="37" t="str">
        <f>'Unit 9'!N34</f>
        <v/>
      </c>
      <c r="L34" s="33"/>
      <c r="M34" s="33"/>
      <c r="N34" s="33"/>
    </row>
    <row r="35" spans="1:14" ht="15.75" x14ac:dyDescent="0.25">
      <c r="A35" s="38" t="str">
        <f>(IF(Info!$B32&lt;&gt;"",Info!$B32,""))</f>
        <v/>
      </c>
      <c r="B35" s="31"/>
      <c r="C35" s="37" t="str">
        <f>'Unit 1'!S35</f>
        <v/>
      </c>
      <c r="D35" s="37" t="str">
        <f>'Unit 2'!Q35</f>
        <v/>
      </c>
      <c r="E35" s="37" t="str">
        <f>'Unit 3'!S35</f>
        <v/>
      </c>
      <c r="F35" s="37" t="str">
        <f>'Unit 4'!Q35</f>
        <v/>
      </c>
      <c r="G35" s="37" t="str">
        <f>'Unit 5'!S35</f>
        <v/>
      </c>
      <c r="H35" s="37" t="str">
        <f>'Unit 6'!V35</f>
        <v/>
      </c>
      <c r="I35" s="37" t="str">
        <f>'Unit 7'!Q35</f>
        <v/>
      </c>
      <c r="J35" s="37" t="str">
        <f>'Unit 8'!W35</f>
        <v/>
      </c>
      <c r="K35" s="37" t="str">
        <f>'Unit 9'!N35</f>
        <v/>
      </c>
      <c r="L35" s="33"/>
      <c r="M35" s="33"/>
      <c r="N35" s="33"/>
    </row>
    <row r="36" spans="1:14" ht="15.75" x14ac:dyDescent="0.25">
      <c r="A36" s="38" t="str">
        <f>(IF(Info!$B33&lt;&gt;"",Info!$B33,""))</f>
        <v/>
      </c>
      <c r="B36" s="31"/>
      <c r="C36" s="37" t="str">
        <f>'Unit 1'!S36</f>
        <v/>
      </c>
      <c r="D36" s="37" t="str">
        <f>'Unit 2'!Q36</f>
        <v/>
      </c>
      <c r="E36" s="37" t="str">
        <f>'Unit 3'!S36</f>
        <v/>
      </c>
      <c r="F36" s="37" t="str">
        <f>'Unit 4'!Q36</f>
        <v/>
      </c>
      <c r="G36" s="37" t="str">
        <f>'Unit 5'!S36</f>
        <v/>
      </c>
      <c r="H36" s="37" t="str">
        <f>'Unit 6'!V36</f>
        <v/>
      </c>
      <c r="I36" s="37" t="str">
        <f>'Unit 7'!Q36</f>
        <v/>
      </c>
      <c r="J36" s="37" t="str">
        <f>'Unit 8'!W36</f>
        <v/>
      </c>
      <c r="K36" s="37" t="str">
        <f>'Unit 9'!N36</f>
        <v/>
      </c>
      <c r="L36" s="33"/>
      <c r="M36" s="33"/>
      <c r="N36" s="33"/>
    </row>
    <row r="37" spans="1:14" ht="15.75" x14ac:dyDescent="0.25">
      <c r="A37" s="38" t="str">
        <f>(IF(Info!$B34&lt;&gt;"",Info!$B34,""))</f>
        <v/>
      </c>
      <c r="B37" s="31"/>
      <c r="C37" s="37" t="str">
        <f>'Unit 1'!S37</f>
        <v/>
      </c>
      <c r="D37" s="37" t="str">
        <f>'Unit 2'!Q37</f>
        <v/>
      </c>
      <c r="E37" s="37" t="str">
        <f>'Unit 3'!S37</f>
        <v/>
      </c>
      <c r="F37" s="37" t="str">
        <f>'Unit 4'!Q37</f>
        <v/>
      </c>
      <c r="G37" s="37" t="str">
        <f>'Unit 5'!S37</f>
        <v/>
      </c>
      <c r="H37" s="37" t="str">
        <f>'Unit 6'!V37</f>
        <v/>
      </c>
      <c r="I37" s="37" t="str">
        <f>'Unit 7'!Q37</f>
        <v/>
      </c>
      <c r="J37" s="37" t="str">
        <f>'Unit 8'!W37</f>
        <v/>
      </c>
      <c r="K37" s="37" t="str">
        <f>'Unit 9'!N37</f>
        <v/>
      </c>
      <c r="L37" s="33"/>
      <c r="M37" s="33"/>
      <c r="N37" s="33"/>
    </row>
    <row r="38" spans="1:14" ht="15.75" x14ac:dyDescent="0.25">
      <c r="A38" s="38" t="str">
        <f>(IF(Info!$B35&lt;&gt;"",Info!$B35,""))</f>
        <v/>
      </c>
      <c r="B38" s="31"/>
      <c r="C38" s="37" t="str">
        <f>'Unit 1'!S38</f>
        <v/>
      </c>
      <c r="D38" s="37" t="str">
        <f>'Unit 2'!Q38</f>
        <v/>
      </c>
      <c r="E38" s="37" t="str">
        <f>'Unit 3'!S38</f>
        <v/>
      </c>
      <c r="F38" s="37" t="str">
        <f>'Unit 4'!Q38</f>
        <v/>
      </c>
      <c r="G38" s="37" t="str">
        <f>'Unit 5'!S38</f>
        <v/>
      </c>
      <c r="H38" s="37" t="str">
        <f>'Unit 6'!V38</f>
        <v/>
      </c>
      <c r="I38" s="37" t="str">
        <f>'Unit 7'!Q38</f>
        <v/>
      </c>
      <c r="J38" s="37" t="str">
        <f>'Unit 8'!W38</f>
        <v/>
      </c>
      <c r="K38" s="37" t="str">
        <f>'Unit 9'!N38</f>
        <v/>
      </c>
      <c r="L38" s="33"/>
      <c r="M38" s="33"/>
      <c r="N38" s="33"/>
    </row>
    <row r="39" spans="1:14" ht="15.75" x14ac:dyDescent="0.25">
      <c r="A39" s="38" t="str">
        <f>(IF(Info!$B36&lt;&gt;"",Info!$B36,""))</f>
        <v/>
      </c>
      <c r="B39" s="31"/>
      <c r="C39" s="37" t="str">
        <f>'Unit 1'!S39</f>
        <v/>
      </c>
      <c r="D39" s="37" t="str">
        <f>'Unit 2'!Q39</f>
        <v/>
      </c>
      <c r="E39" s="37" t="str">
        <f>'Unit 3'!S39</f>
        <v/>
      </c>
      <c r="F39" s="37" t="str">
        <f>'Unit 4'!Q39</f>
        <v/>
      </c>
      <c r="G39" s="37" t="str">
        <f>'Unit 5'!S39</f>
        <v/>
      </c>
      <c r="H39" s="37" t="str">
        <f>'Unit 6'!V39</f>
        <v/>
      </c>
      <c r="I39" s="37" t="str">
        <f>'Unit 7'!Q39</f>
        <v/>
      </c>
      <c r="J39" s="37" t="str">
        <f>'Unit 8'!W39</f>
        <v/>
      </c>
      <c r="K39" s="37" t="str">
        <f>'Unit 9'!N39</f>
        <v/>
      </c>
      <c r="L39" s="33"/>
      <c r="M39" s="33"/>
      <c r="N39" s="33"/>
    </row>
    <row r="40" spans="1:14" ht="15.75" x14ac:dyDescent="0.25">
      <c r="A40" s="38" t="str">
        <f>(IF(Info!$B37&lt;&gt;"",Info!$B37,""))</f>
        <v/>
      </c>
      <c r="B40" s="31"/>
      <c r="C40" s="37" t="str">
        <f>'Unit 1'!S40</f>
        <v/>
      </c>
      <c r="D40" s="37" t="str">
        <f>'Unit 2'!Q40</f>
        <v/>
      </c>
      <c r="E40" s="37" t="str">
        <f>'Unit 3'!S40</f>
        <v/>
      </c>
      <c r="F40" s="37" t="str">
        <f>'Unit 4'!Q40</f>
        <v/>
      </c>
      <c r="G40" s="37" t="str">
        <f>'Unit 5'!S40</f>
        <v/>
      </c>
      <c r="H40" s="37" t="str">
        <f>'Unit 6'!V40</f>
        <v/>
      </c>
      <c r="I40" s="37" t="str">
        <f>'Unit 7'!Q40</f>
        <v/>
      </c>
      <c r="J40" s="37" t="str">
        <f>'Unit 8'!W40</f>
        <v/>
      </c>
      <c r="K40" s="37" t="str">
        <f>'Unit 9'!N40</f>
        <v/>
      </c>
      <c r="L40" s="33"/>
      <c r="M40" s="33"/>
      <c r="N40" s="33"/>
    </row>
    <row r="41" spans="1:14" ht="15.75" x14ac:dyDescent="0.25">
      <c r="A41" s="38" t="str">
        <f>(IF(Info!$B38&lt;&gt;"",Info!$B38,""))</f>
        <v/>
      </c>
      <c r="B41" s="31"/>
      <c r="C41" s="37" t="str">
        <f>'Unit 1'!S41</f>
        <v/>
      </c>
      <c r="D41" s="37" t="str">
        <f>'Unit 2'!Q41</f>
        <v/>
      </c>
      <c r="E41" s="37" t="str">
        <f>'Unit 3'!S41</f>
        <v/>
      </c>
      <c r="F41" s="37" t="str">
        <f>'Unit 4'!Q41</f>
        <v/>
      </c>
      <c r="G41" s="37" t="str">
        <f>'Unit 5'!S41</f>
        <v/>
      </c>
      <c r="H41" s="37" t="str">
        <f>'Unit 6'!V41</f>
        <v/>
      </c>
      <c r="I41" s="37" t="str">
        <f>'Unit 7'!Q41</f>
        <v/>
      </c>
      <c r="J41" s="37" t="str">
        <f>'Unit 8'!W41</f>
        <v/>
      </c>
      <c r="K41" s="37" t="str">
        <f>'Unit 9'!N41</f>
        <v/>
      </c>
      <c r="L41" s="33"/>
      <c r="M41" s="33"/>
      <c r="N41" s="33"/>
    </row>
    <row r="42" spans="1:14" ht="15.75" x14ac:dyDescent="0.25">
      <c r="A42" s="38" t="str">
        <f>(IF(Info!$B39&lt;&gt;"",Info!$B39,""))</f>
        <v/>
      </c>
      <c r="B42" s="31"/>
      <c r="C42" s="37" t="str">
        <f>'Unit 1'!S42</f>
        <v/>
      </c>
      <c r="D42" s="37" t="str">
        <f>'Unit 2'!Q42</f>
        <v/>
      </c>
      <c r="E42" s="37" t="str">
        <f>'Unit 3'!S42</f>
        <v/>
      </c>
      <c r="F42" s="37" t="str">
        <f>'Unit 4'!Q42</f>
        <v/>
      </c>
      <c r="G42" s="37" t="str">
        <f>'Unit 5'!S42</f>
        <v/>
      </c>
      <c r="H42" s="37" t="str">
        <f>'Unit 6'!V42</f>
        <v/>
      </c>
      <c r="I42" s="37" t="str">
        <f>'Unit 7'!Q42</f>
        <v/>
      </c>
      <c r="J42" s="37" t="str">
        <f>'Unit 8'!W42</f>
        <v/>
      </c>
      <c r="K42" s="37" t="str">
        <f>'Unit 9'!N42</f>
        <v/>
      </c>
      <c r="L42" s="33"/>
      <c r="M42" s="33"/>
      <c r="N42" s="33"/>
    </row>
    <row r="43" spans="1:14" ht="15.75" x14ac:dyDescent="0.25">
      <c r="A43" s="38" t="str">
        <f>(IF(Info!$B40&lt;&gt;"",Info!$B40,""))</f>
        <v/>
      </c>
      <c r="B43" s="31"/>
      <c r="C43" s="37" t="str">
        <f>'Unit 1'!S43</f>
        <v/>
      </c>
      <c r="D43" s="37" t="str">
        <f>'Unit 2'!Q43</f>
        <v/>
      </c>
      <c r="E43" s="37" t="str">
        <f>'Unit 3'!S43</f>
        <v/>
      </c>
      <c r="F43" s="37" t="str">
        <f>'Unit 4'!Q43</f>
        <v/>
      </c>
      <c r="G43" s="37" t="str">
        <f>'Unit 5'!S43</f>
        <v/>
      </c>
      <c r="H43" s="37" t="str">
        <f>'Unit 6'!V43</f>
        <v/>
      </c>
      <c r="I43" s="37" t="str">
        <f>'Unit 7'!Q43</f>
        <v/>
      </c>
      <c r="J43" s="37" t="str">
        <f>'Unit 8'!W43</f>
        <v/>
      </c>
      <c r="K43" s="37" t="str">
        <f>'Unit 9'!N43</f>
        <v/>
      </c>
      <c r="L43" s="33"/>
      <c r="M43" s="33"/>
      <c r="N43" s="33"/>
    </row>
    <row r="44" spans="1:14" ht="15.75" x14ac:dyDescent="0.25">
      <c r="A44" s="38" t="str">
        <f>(IF(Info!$B41&lt;&gt;"",Info!$B41,""))</f>
        <v/>
      </c>
      <c r="B44" s="31"/>
      <c r="C44" s="37" t="str">
        <f>'Unit 1'!S44</f>
        <v/>
      </c>
      <c r="D44" s="37" t="str">
        <f>'Unit 2'!Q44</f>
        <v/>
      </c>
      <c r="E44" s="37" t="str">
        <f>'Unit 3'!S44</f>
        <v/>
      </c>
      <c r="F44" s="37" t="str">
        <f>'Unit 4'!Q44</f>
        <v/>
      </c>
      <c r="G44" s="37" t="str">
        <f>'Unit 5'!S44</f>
        <v/>
      </c>
      <c r="H44" s="37" t="str">
        <f>'Unit 6'!V44</f>
        <v/>
      </c>
      <c r="I44" s="37" t="str">
        <f>'Unit 7'!Q44</f>
        <v/>
      </c>
      <c r="J44" s="37" t="str">
        <f>'Unit 8'!W44</f>
        <v/>
      </c>
      <c r="K44" s="37" t="str">
        <f>'Unit 9'!N44</f>
        <v/>
      </c>
      <c r="L44" s="33"/>
      <c r="M44" s="33"/>
      <c r="N44" s="33"/>
    </row>
    <row r="45" spans="1:14" ht="15.75" x14ac:dyDescent="0.25">
      <c r="A45" s="38" t="str">
        <f>(IF(Info!$B42&lt;&gt;"",Info!$B42,""))</f>
        <v/>
      </c>
      <c r="B45" s="31"/>
      <c r="C45" s="37" t="str">
        <f>'Unit 1'!S45</f>
        <v/>
      </c>
      <c r="D45" s="37" t="str">
        <f>'Unit 2'!Q45</f>
        <v/>
      </c>
      <c r="E45" s="37" t="str">
        <f>'Unit 3'!S45</f>
        <v/>
      </c>
      <c r="F45" s="37" t="str">
        <f>'Unit 4'!Q45</f>
        <v/>
      </c>
      <c r="G45" s="37" t="str">
        <f>'Unit 5'!S45</f>
        <v/>
      </c>
      <c r="H45" s="37" t="str">
        <f>'Unit 6'!V45</f>
        <v/>
      </c>
      <c r="I45" s="37" t="str">
        <f>'Unit 7'!Q45</f>
        <v/>
      </c>
      <c r="J45" s="37" t="str">
        <f>'Unit 8'!W45</f>
        <v/>
      </c>
      <c r="K45" s="37" t="str">
        <f>'Unit 9'!N45</f>
        <v/>
      </c>
      <c r="L45" s="33"/>
      <c r="M45" s="33"/>
      <c r="N45" s="33"/>
    </row>
    <row r="46" spans="1:14" ht="15.75" x14ac:dyDescent="0.25">
      <c r="A46" s="38" t="str">
        <f>(IF(Info!$B43&lt;&gt;"",Info!$B43,""))</f>
        <v/>
      </c>
      <c r="B46" s="31"/>
      <c r="C46" s="37" t="str">
        <f>'Unit 1'!S46</f>
        <v/>
      </c>
      <c r="D46" s="37" t="str">
        <f>'Unit 2'!Q46</f>
        <v/>
      </c>
      <c r="E46" s="37" t="str">
        <f>'Unit 3'!S46</f>
        <v/>
      </c>
      <c r="F46" s="37" t="str">
        <f>'Unit 4'!Q46</f>
        <v/>
      </c>
      <c r="G46" s="37" t="str">
        <f>'Unit 5'!S46</f>
        <v/>
      </c>
      <c r="H46" s="37" t="str">
        <f>'Unit 6'!V46</f>
        <v/>
      </c>
      <c r="I46" s="37" t="str">
        <f>'Unit 7'!Q46</f>
        <v/>
      </c>
      <c r="J46" s="37" t="str">
        <f>'Unit 8'!W46</f>
        <v/>
      </c>
      <c r="K46" s="37" t="str">
        <f>'Unit 9'!N46</f>
        <v/>
      </c>
      <c r="L46" s="33"/>
      <c r="M46" s="33"/>
      <c r="N46" s="33"/>
    </row>
    <row r="47" spans="1:14" ht="15.75" x14ac:dyDescent="0.25">
      <c r="A47" s="38" t="str">
        <f>(IF(Info!$B44&lt;&gt;"",Info!$B44,""))</f>
        <v/>
      </c>
      <c r="B47" s="31"/>
      <c r="C47" s="37" t="str">
        <f>'Unit 1'!S47</f>
        <v/>
      </c>
      <c r="D47" s="37" t="str">
        <f>'Unit 2'!Q47</f>
        <v/>
      </c>
      <c r="E47" s="37" t="str">
        <f>'Unit 3'!S47</f>
        <v/>
      </c>
      <c r="F47" s="37" t="str">
        <f>'Unit 4'!Q47</f>
        <v/>
      </c>
      <c r="G47" s="37" t="str">
        <f>'Unit 5'!S47</f>
        <v/>
      </c>
      <c r="H47" s="37" t="str">
        <f>'Unit 6'!V47</f>
        <v/>
      </c>
      <c r="I47" s="37" t="str">
        <f>'Unit 7'!Q47</f>
        <v/>
      </c>
      <c r="J47" s="37" t="str">
        <f>'Unit 8'!W47</f>
        <v/>
      </c>
      <c r="K47" s="37" t="str">
        <f>'Unit 9'!N47</f>
        <v/>
      </c>
      <c r="L47" s="33"/>
      <c r="M47" s="33"/>
      <c r="N47" s="33"/>
    </row>
    <row r="48" spans="1:14" ht="15.75" x14ac:dyDescent="0.25">
      <c r="A48" s="38" t="str">
        <f>(IF(Info!$B45&lt;&gt;"",Info!$B45,""))</f>
        <v/>
      </c>
      <c r="B48" s="31"/>
      <c r="C48" s="37" t="str">
        <f>'Unit 1'!S48</f>
        <v/>
      </c>
      <c r="D48" s="37" t="str">
        <f>'Unit 2'!Q48</f>
        <v/>
      </c>
      <c r="E48" s="37" t="str">
        <f>'Unit 3'!S48</f>
        <v/>
      </c>
      <c r="F48" s="37" t="str">
        <f>'Unit 4'!Q48</f>
        <v/>
      </c>
      <c r="G48" s="37" t="str">
        <f>'Unit 5'!S48</f>
        <v/>
      </c>
      <c r="H48" s="37" t="str">
        <f>'Unit 6'!V48</f>
        <v/>
      </c>
      <c r="I48" s="37" t="str">
        <f>'Unit 7'!Q48</f>
        <v/>
      </c>
      <c r="J48" s="37" t="str">
        <f>'Unit 8'!W48</f>
        <v/>
      </c>
      <c r="K48" s="37" t="str">
        <f>'Unit 9'!N48</f>
        <v/>
      </c>
      <c r="L48" s="33"/>
      <c r="M48" s="33"/>
      <c r="N48" s="33"/>
    </row>
    <row r="49" spans="1:14" ht="15.75" x14ac:dyDescent="0.25">
      <c r="A49" s="38" t="str">
        <f>(IF(Info!$B46&lt;&gt;"",Info!$B46,""))</f>
        <v/>
      </c>
      <c r="B49" s="31"/>
      <c r="C49" s="37" t="str">
        <f>'Unit 1'!S49</f>
        <v/>
      </c>
      <c r="D49" s="37" t="str">
        <f>'Unit 2'!Q49</f>
        <v/>
      </c>
      <c r="E49" s="37" t="str">
        <f>'Unit 3'!S49</f>
        <v/>
      </c>
      <c r="F49" s="37" t="str">
        <f>'Unit 4'!Q49</f>
        <v/>
      </c>
      <c r="G49" s="37" t="str">
        <f>'Unit 5'!S49</f>
        <v/>
      </c>
      <c r="H49" s="37" t="str">
        <f>'Unit 6'!V49</f>
        <v/>
      </c>
      <c r="I49" s="37" t="str">
        <f>'Unit 7'!Q49</f>
        <v/>
      </c>
      <c r="J49" s="37" t="str">
        <f>'Unit 8'!W49</f>
        <v/>
      </c>
      <c r="K49" s="37" t="str">
        <f>'Unit 9'!N49</f>
        <v/>
      </c>
      <c r="L49" s="33"/>
      <c r="M49" s="33"/>
      <c r="N49" s="33"/>
    </row>
    <row r="50" spans="1:14" ht="15.75" x14ac:dyDescent="0.25">
      <c r="A50" s="38" t="str">
        <f>(IF(Info!$B47&lt;&gt;"",Info!$B47,""))</f>
        <v/>
      </c>
      <c r="B50" s="31"/>
      <c r="C50" s="37" t="str">
        <f>'Unit 1'!S50</f>
        <v/>
      </c>
      <c r="D50" s="37" t="str">
        <f>'Unit 2'!Q50</f>
        <v/>
      </c>
      <c r="E50" s="37" t="str">
        <f>'Unit 3'!S50</f>
        <v/>
      </c>
      <c r="F50" s="37" t="str">
        <f>'Unit 4'!Q50</f>
        <v/>
      </c>
      <c r="G50" s="37" t="str">
        <f>'Unit 5'!S50</f>
        <v/>
      </c>
      <c r="H50" s="37" t="str">
        <f>'Unit 6'!V50</f>
        <v/>
      </c>
      <c r="I50" s="37" t="str">
        <f>'Unit 7'!Q50</f>
        <v/>
      </c>
      <c r="J50" s="37" t="str">
        <f>'Unit 8'!W50</f>
        <v/>
      </c>
      <c r="K50" s="37" t="str">
        <f>'Unit 9'!N50</f>
        <v/>
      </c>
      <c r="L50" s="33"/>
      <c r="M50" s="33"/>
      <c r="N50" s="33"/>
    </row>
    <row r="51" spans="1:14" ht="15.75" x14ac:dyDescent="0.25">
      <c r="A51" s="38" t="str">
        <f>(IF(Info!$B48&lt;&gt;"",Info!$B48,""))</f>
        <v/>
      </c>
      <c r="B51" s="31"/>
      <c r="C51" s="37" t="str">
        <f>'Unit 1'!S51</f>
        <v/>
      </c>
      <c r="D51" s="37" t="str">
        <f>'Unit 2'!Q51</f>
        <v/>
      </c>
      <c r="E51" s="37" t="str">
        <f>'Unit 3'!S51</f>
        <v/>
      </c>
      <c r="F51" s="37" t="str">
        <f>'Unit 4'!Q51</f>
        <v/>
      </c>
      <c r="G51" s="37" t="str">
        <f>'Unit 5'!S51</f>
        <v/>
      </c>
      <c r="H51" s="37" t="str">
        <f>'Unit 6'!V51</f>
        <v/>
      </c>
      <c r="I51" s="37" t="str">
        <f>'Unit 7'!Q51</f>
        <v/>
      </c>
      <c r="J51" s="37" t="str">
        <f>'Unit 8'!W51</f>
        <v/>
      </c>
      <c r="K51" s="37" t="str">
        <f>'Unit 9'!N51</f>
        <v/>
      </c>
      <c r="L51" s="33"/>
      <c r="M51" s="33"/>
      <c r="N51" s="33"/>
    </row>
    <row r="52" spans="1:14" x14ac:dyDescent="0.2">
      <c r="B52" s="36"/>
    </row>
    <row r="59" spans="1:14" ht="15.75" x14ac:dyDescent="0.25">
      <c r="A59" s="34"/>
    </row>
    <row r="60" spans="1:14" ht="15.75" x14ac:dyDescent="0.25">
      <c r="A60" s="34"/>
    </row>
    <row r="61" spans="1:14" ht="15.75" x14ac:dyDescent="0.25">
      <c r="A61" s="34"/>
    </row>
    <row r="62" spans="1:14" ht="15.75" x14ac:dyDescent="0.25">
      <c r="A62" s="34"/>
    </row>
    <row r="63" spans="1:14" ht="15.75" x14ac:dyDescent="0.25">
      <c r="A63" s="34"/>
    </row>
    <row r="64" spans="1:14" ht="15.75" x14ac:dyDescent="0.25">
      <c r="A64" s="34"/>
    </row>
    <row r="65" spans="1:1" ht="15.75" x14ac:dyDescent="0.25">
      <c r="A65" s="34"/>
    </row>
    <row r="66" spans="1:1" ht="15.75" x14ac:dyDescent="0.25">
      <c r="A66" s="34"/>
    </row>
    <row r="67" spans="1:1" ht="15.75" x14ac:dyDescent="0.25">
      <c r="A67" s="34"/>
    </row>
    <row r="68" spans="1:1" ht="15.75" x14ac:dyDescent="0.25">
      <c r="A68" s="34"/>
    </row>
    <row r="69" spans="1:1" ht="15.75" x14ac:dyDescent="0.25">
      <c r="A69" s="34"/>
    </row>
    <row r="70" spans="1:1" ht="15.75" x14ac:dyDescent="0.25">
      <c r="A70" s="34"/>
    </row>
    <row r="71" spans="1:1" ht="15.75" x14ac:dyDescent="0.25">
      <c r="A71" s="34"/>
    </row>
    <row r="72" spans="1:1" ht="15.75" x14ac:dyDescent="0.25">
      <c r="A72" s="34"/>
    </row>
    <row r="73" spans="1:1" ht="15.75" x14ac:dyDescent="0.25">
      <c r="A73" s="34"/>
    </row>
  </sheetData>
  <sheetProtection selectLockedCells="1"/>
  <mergeCells count="6">
    <mergeCell ref="C1:I1"/>
    <mergeCell ref="J1:K1"/>
    <mergeCell ref="L1:N1"/>
    <mergeCell ref="B2:N2"/>
    <mergeCell ref="C3:K3"/>
    <mergeCell ref="L3:N3"/>
  </mergeCells>
  <conditionalFormatting sqref="L6:L51">
    <cfRule type="colorScale" priority="26">
      <colorScale>
        <cfvo type="num" val="0"/>
        <cfvo type="num" val="$L$5-15"/>
        <cfvo type="num" val="$L$5+25"/>
        <color rgb="FFEA4C4C"/>
        <color rgb="FFFFEB84"/>
        <color theme="6" tint="-0.249977111117893"/>
      </colorScale>
    </cfRule>
    <cfRule type="expression" dxfId="14" priority="27">
      <formula>ISNUMBER(L6)</formula>
    </cfRule>
  </conditionalFormatting>
  <conditionalFormatting sqref="M6:M51">
    <cfRule type="colorScale" priority="24">
      <colorScale>
        <cfvo type="num" val="0"/>
        <cfvo type="num" val="$M$5+15"/>
        <cfvo type="num" val="$M$5+25"/>
        <color rgb="FFEA4C4C"/>
        <color rgb="FFFFEB84"/>
        <color theme="6" tint="-0.249977111117893"/>
      </colorScale>
    </cfRule>
    <cfRule type="expression" dxfId="13" priority="25">
      <formula>ISNUMBER(M6)</formula>
    </cfRule>
  </conditionalFormatting>
  <conditionalFormatting sqref="N6:N51">
    <cfRule type="colorScale" priority="22">
      <colorScale>
        <cfvo type="num" val="0"/>
        <cfvo type="num" val="$N$5-15"/>
        <cfvo type="num" val="$N$5+25"/>
        <color rgb="FFEA4C4C"/>
        <color rgb="FFFFEB84"/>
        <color theme="6" tint="-0.249977111117893"/>
      </colorScale>
    </cfRule>
    <cfRule type="expression" dxfId="12" priority="23">
      <formula>ISNUMBER(N6)</formula>
    </cfRule>
  </conditionalFormatting>
  <conditionalFormatting sqref="C6:C51">
    <cfRule type="colorScale" priority="20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11" priority="21">
      <formula>ISNUMBER(C6)</formula>
    </cfRule>
  </conditionalFormatting>
  <conditionalFormatting sqref="D6:D51">
    <cfRule type="colorScale" priority="18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10" priority="19">
      <formula>ISNUMBER(D6)</formula>
    </cfRule>
  </conditionalFormatting>
  <conditionalFormatting sqref="E6:E51">
    <cfRule type="colorScale" priority="16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9" priority="17">
      <formula>ISNUMBER(E6)</formula>
    </cfRule>
  </conditionalFormatting>
  <conditionalFormatting sqref="F6:F51">
    <cfRule type="colorScale" priority="14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8" priority="15">
      <formula>ISNUMBER(F6)</formula>
    </cfRule>
  </conditionalFormatting>
  <conditionalFormatting sqref="G6:G51">
    <cfRule type="colorScale" priority="12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7" priority="13">
      <formula>ISNUMBER(G6)</formula>
    </cfRule>
  </conditionalFormatting>
  <conditionalFormatting sqref="H6:H51">
    <cfRule type="colorScale" priority="10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6" priority="11">
      <formula>ISNUMBER(H6)</formula>
    </cfRule>
  </conditionalFormatting>
  <conditionalFormatting sqref="I6:I51">
    <cfRule type="colorScale" priority="8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5" priority="9">
      <formula>ISNUMBER(I6)</formula>
    </cfRule>
  </conditionalFormatting>
  <conditionalFormatting sqref="J6:J51">
    <cfRule type="colorScale" priority="6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4" priority="7">
      <formula>ISNUMBER(J6)</formula>
    </cfRule>
  </conditionalFormatting>
  <conditionalFormatting sqref="K6:K51">
    <cfRule type="colorScale" priority="4">
      <colorScale>
        <cfvo type="num" val="0"/>
        <cfvo type="num" val="0.5"/>
        <cfvo type="num" val="1"/>
        <color rgb="FFEA4C4C"/>
        <color rgb="FFFFEB84"/>
        <color theme="6" tint="-0.249977111117893"/>
      </colorScale>
    </cfRule>
    <cfRule type="expression" dxfId="3" priority="5">
      <formula>ISNUMBER(K6)</formula>
    </cfRule>
  </conditionalFormatting>
  <conditionalFormatting sqref="J1">
    <cfRule type="cellIs" dxfId="2" priority="2" stopIfTrue="1" operator="greaterThanOrEqual">
      <formula>0.85</formula>
    </cfRule>
    <cfRule type="cellIs" dxfId="1" priority="3" stopIfTrue="1" operator="lessThan">
      <formula>0.85</formula>
    </cfRule>
  </conditionalFormatting>
  <pageMargins left="0.7" right="0.7" top="0.75" bottom="0.75" header="0.3" footer="0.3"/>
  <pageSetup orientation="portrait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stopIfTrue="1" id="{AFE81EFD-2AD2-4714-9B0E-E081DDCA8C80}">
            <xm:f>COUNTA(Info!$B3)&gt;0</xm:f>
            <x14:dxf>
              <border>
                <left style="thin">
                  <color indexed="64"/>
                </left>
                <right style="thin">
                  <color indexed="64"/>
                </right>
                <top style="thin">
                  <color indexed="64"/>
                </top>
                <bottom style="thin">
                  <color indexed="64"/>
                </bottom>
              </border>
            </x14:dxf>
          </x14:cfRule>
          <xm:sqref>A6:B51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24</vt:i4>
      </vt:variant>
    </vt:vector>
  </HeadingPairs>
  <TitlesOfParts>
    <vt:vector size="38" baseType="lpstr">
      <vt:lpstr>Info</vt:lpstr>
      <vt:lpstr>Unit 1</vt:lpstr>
      <vt:lpstr>Unit 2</vt:lpstr>
      <vt:lpstr>Unit 3</vt:lpstr>
      <vt:lpstr>Unit 4</vt:lpstr>
      <vt:lpstr>Unit 5</vt:lpstr>
      <vt:lpstr>Unit 6</vt:lpstr>
      <vt:lpstr>Unit 7</vt:lpstr>
      <vt:lpstr>Unit 8</vt:lpstr>
      <vt:lpstr>Unit 9</vt:lpstr>
      <vt:lpstr>Summary</vt:lpstr>
      <vt:lpstr>Announcements</vt:lpstr>
      <vt:lpstr>Letters_Home</vt:lpstr>
      <vt:lpstr>Snapshot</vt:lpstr>
      <vt:lpstr>class_list</vt:lpstr>
      <vt:lpstr>Announcements!Print_Area</vt:lpstr>
      <vt:lpstr>Info!Print_Area</vt:lpstr>
      <vt:lpstr>Snapshot!Print_Area</vt:lpstr>
      <vt:lpstr>Summary!Print_Area</vt:lpstr>
      <vt:lpstr>'Unit 1'!Print_Area</vt:lpstr>
      <vt:lpstr>'Unit 2'!Print_Area</vt:lpstr>
      <vt:lpstr>'Unit 3'!Print_Area</vt:lpstr>
      <vt:lpstr>'Unit 4'!Print_Area</vt:lpstr>
      <vt:lpstr>'Unit 5'!Print_Area</vt:lpstr>
      <vt:lpstr>'Unit 6'!Print_Area</vt:lpstr>
      <vt:lpstr>'Unit 7'!Print_Area</vt:lpstr>
      <vt:lpstr>'Unit 8'!Print_Area</vt:lpstr>
      <vt:lpstr>'Unit 9'!Print_Area</vt:lpstr>
      <vt:lpstr>UNIT_1_scores</vt:lpstr>
      <vt:lpstr>UNIT_2_SCORES</vt:lpstr>
      <vt:lpstr>'Unit 3'!UNIT_3_scores</vt:lpstr>
      <vt:lpstr>'Unit 3'!UNIT_4_scores</vt:lpstr>
      <vt:lpstr>UNIT_5_scores</vt:lpstr>
      <vt:lpstr>UNIT_6_scores</vt:lpstr>
      <vt:lpstr>UNIT_7_scores</vt:lpstr>
      <vt:lpstr>UNIT_8_scores</vt:lpstr>
      <vt:lpstr>UNIT_9_scores</vt:lpstr>
      <vt:lpstr>unit_list</vt:lpstr>
    </vt:vector>
  </TitlesOfParts>
  <Company>Baltimore County Public Schools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Grade 3 Math Data Collection Book</dc:title>
  <dc:creator>John R. Wilkins</dc:creator>
  <cp:lastModifiedBy>Schultz, Anthony D.</cp:lastModifiedBy>
  <cp:lastPrinted>2017-10-23T16:29:34Z</cp:lastPrinted>
  <dcterms:created xsi:type="dcterms:W3CDTF">2005-06-23T14:48:33Z</dcterms:created>
  <dcterms:modified xsi:type="dcterms:W3CDTF">2017-10-23T16:46:55Z</dcterms:modified>
</cp:coreProperties>
</file>